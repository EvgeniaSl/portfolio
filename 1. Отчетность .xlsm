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charts/chart11.xml" ContentType="application/vnd.openxmlformats-officedocument.drawingml.chart+xml"/>
  <Override PartName="/xl/drawings/drawing12.xml" ContentType="application/vnd.openxmlformats-officedocument.drawing+xml"/>
  <Override PartName="/xl/comments12.xml" ContentType="application/vnd.openxmlformats-officedocument.spreadsheetml.comments+xml"/>
  <Override PartName="/xl/charts/chart12.xml" ContentType="application/vnd.openxmlformats-officedocument.drawingml.chart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Evgenia\Desktop\Примеры\"/>
    </mc:Choice>
  </mc:AlternateContent>
  <xr:revisionPtr revIDLastSave="0" documentId="13_ncr:1_{3CD46E7C-D99A-42AA-93D7-A39E7D15892D}" xr6:coauthVersionLast="47" xr6:coauthVersionMax="47" xr10:uidLastSave="{00000000-0000-0000-0000-000000000000}"/>
  <workbookProtection workbookAlgorithmName="SHA-512" workbookHashValue="6ZQP5CXEhDhJdKVFy4rcEmrLBx+OeGcOZYyG9pHd1yE2Dmx0oOYI0NF8UjHiDkHbMIJ9B3+juZ/8yy8Mu/7fFw==" workbookSaltValue="ON9I7lcJAEEVQrbUBmK3eA==" workbookSpinCount="100000" lockStructure="1"/>
  <bookViews>
    <workbookView xWindow="-120" yWindow="-120" windowWidth="29040" windowHeight="15840" tabRatio="657" activeTab="12" xr2:uid="{00000000-000D-0000-FFFF-FFFF00000000}"/>
  </bookViews>
  <sheets>
    <sheet name="1" sheetId="33" r:id="rId1"/>
    <sheet name="2" sheetId="35" r:id="rId2"/>
    <sheet name="3" sheetId="36" r:id="rId3"/>
    <sheet name="4" sheetId="37" r:id="rId4"/>
    <sheet name="5" sheetId="38" r:id="rId5"/>
    <sheet name="6" sheetId="39" r:id="rId6"/>
    <sheet name="7" sheetId="40" r:id="rId7"/>
    <sheet name="8" sheetId="41" r:id="rId8"/>
    <sheet name="9" sheetId="42" r:id="rId9"/>
    <sheet name="10" sheetId="43" r:id="rId10"/>
    <sheet name="11" sheetId="44" r:id="rId11"/>
    <sheet name="12" sheetId="45" r:id="rId12"/>
    <sheet name="свод" sheetId="14" r:id="rId13"/>
  </sheets>
  <externalReferences>
    <externalReference r:id="rId14"/>
    <externalReference r:id="rId15"/>
    <externalReference r:id="rId16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0" i="45" l="1"/>
  <c r="D17" i="14"/>
  <c r="F13" i="45" l="1"/>
  <c r="G12" i="45" l="1"/>
  <c r="C15" i="45" s="1"/>
  <c r="C11" i="45" l="1"/>
  <c r="C10" i="45"/>
  <c r="C9" i="45"/>
  <c r="G22" i="44" l="1"/>
  <c r="X23" i="44" l="1"/>
  <c r="W23" i="44"/>
  <c r="V23" i="44"/>
  <c r="U23" i="44"/>
  <c r="T23" i="44"/>
  <c r="P23" i="44"/>
  <c r="O23" i="44"/>
  <c r="N23" i="44"/>
  <c r="M23" i="44"/>
  <c r="K23" i="44"/>
  <c r="J23" i="44"/>
  <c r="F16" i="44" l="1"/>
  <c r="F23" i="44" s="1"/>
  <c r="G15" i="44" l="1"/>
  <c r="C15" i="44" s="1"/>
  <c r="C11" i="44" l="1"/>
  <c r="C10" i="44"/>
  <c r="C9" i="44"/>
  <c r="F9" i="44"/>
  <c r="C15" i="43" l="1"/>
  <c r="F26" i="43" l="1"/>
  <c r="Y19" i="43" l="1"/>
  <c r="F19" i="43"/>
  <c r="F5" i="43" l="1"/>
  <c r="F34" i="43" s="1"/>
  <c r="C11" i="43"/>
  <c r="C10" i="43"/>
  <c r="K32" i="42" l="1"/>
  <c r="L32" i="42"/>
  <c r="M32" i="42"/>
  <c r="N32" i="42"/>
  <c r="O32" i="42"/>
  <c r="P32" i="42"/>
  <c r="Q32" i="42"/>
  <c r="R32" i="42"/>
  <c r="S32" i="42"/>
  <c r="T32" i="42"/>
  <c r="U32" i="42"/>
  <c r="V32" i="42"/>
  <c r="W32" i="42"/>
  <c r="X32" i="42"/>
  <c r="J32" i="42"/>
  <c r="C9" i="42" l="1"/>
  <c r="F28" i="42" l="1"/>
  <c r="F32" i="42" s="1"/>
  <c r="C15" i="42" l="1"/>
  <c r="F21" i="42" l="1"/>
  <c r="F14" i="42" l="1"/>
  <c r="C11" i="42" l="1"/>
  <c r="C10" i="42"/>
  <c r="G24" i="41" l="1"/>
  <c r="G16" i="41" l="1"/>
  <c r="C15" i="41" s="1"/>
  <c r="C11" i="41" l="1"/>
  <c r="C10" i="41"/>
  <c r="F10" i="41"/>
  <c r="G27" i="40" l="1"/>
  <c r="F27" i="40" l="1"/>
  <c r="C11" i="40" l="1"/>
  <c r="C10" i="40"/>
  <c r="C9" i="40"/>
  <c r="F13" i="40" l="1"/>
  <c r="G13" i="40"/>
  <c r="G5" i="40" l="1"/>
  <c r="C15" i="40" s="1"/>
  <c r="F6" i="40" l="1"/>
  <c r="F29" i="39" l="1"/>
  <c r="G19" i="39" l="1"/>
  <c r="G20" i="39" l="1"/>
  <c r="F22" i="39" l="1"/>
  <c r="F14" i="39" l="1"/>
  <c r="G11" i="39" l="1"/>
  <c r="C15" i="39" s="1"/>
  <c r="F33" i="38" l="1"/>
  <c r="C11" i="39" l="1"/>
  <c r="C10" i="39"/>
  <c r="C9" i="39"/>
  <c r="C9" i="38" l="1"/>
  <c r="C10" i="38" l="1"/>
  <c r="F29" i="38" l="1"/>
  <c r="C15" i="38" l="1"/>
  <c r="F16" i="38" l="1"/>
  <c r="F9" i="38" l="1"/>
  <c r="C14" i="37" l="1"/>
  <c r="C8" i="40"/>
  <c r="C8" i="41"/>
  <c r="C8" i="42"/>
  <c r="C8" i="43"/>
  <c r="C8" i="44"/>
  <c r="C8" i="39"/>
  <c r="C8" i="38" l="1"/>
  <c r="C8" i="37" l="1"/>
  <c r="F31" i="37" l="1"/>
  <c r="G31" i="37"/>
  <c r="F24" i="37" l="1"/>
  <c r="G24" i="37"/>
  <c r="C10" i="37" l="1"/>
  <c r="G13" i="37" l="1"/>
  <c r="G6" i="37" l="1"/>
  <c r="C15" i="37" s="1"/>
  <c r="F4" i="37" l="1"/>
  <c r="G4" i="37"/>
  <c r="C11" i="37" s="1"/>
  <c r="F32" i="36" l="1"/>
  <c r="C15" i="36" l="1"/>
  <c r="F31" i="36"/>
  <c r="F28" i="36" l="1"/>
  <c r="G28" i="36"/>
  <c r="F24" i="36" l="1"/>
  <c r="F20" i="36" l="1"/>
  <c r="F21" i="36"/>
  <c r="F17" i="36" l="1"/>
  <c r="G14" i="36" l="1"/>
  <c r="C11" i="36" s="1"/>
  <c r="F14" i="36"/>
  <c r="F6" i="36" l="1"/>
  <c r="C15" i="35" l="1"/>
  <c r="C10" i="35" l="1"/>
  <c r="F30" i="35" l="1"/>
  <c r="C11" i="35" l="1"/>
  <c r="C8" i="35" l="1"/>
  <c r="F16" i="35" l="1"/>
  <c r="F14" i="35" l="1"/>
  <c r="F10" i="35" l="1"/>
  <c r="F33" i="33" l="1"/>
  <c r="G26" i="33" l="1"/>
  <c r="C15" i="33" s="1"/>
  <c r="F27" i="33" l="1"/>
  <c r="G17" i="33" l="1"/>
  <c r="F20" i="33" l="1"/>
  <c r="G11" i="33" l="1"/>
  <c r="C11" i="33" s="1"/>
  <c r="L34" i="36" l="1"/>
  <c r="L38" i="36" s="1"/>
  <c r="B33" i="14"/>
  <c r="C33" i="14"/>
  <c r="D33" i="14"/>
  <c r="E33" i="14"/>
  <c r="F33" i="14"/>
  <c r="G33" i="14"/>
  <c r="H33" i="14"/>
  <c r="I33" i="14"/>
  <c r="J33" i="14"/>
  <c r="K33" i="14"/>
  <c r="L33" i="14"/>
  <c r="M33" i="14"/>
  <c r="N33" i="14"/>
  <c r="O33" i="14"/>
  <c r="B34" i="14"/>
  <c r="C34" i="14"/>
  <c r="D34" i="14"/>
  <c r="E34" i="14"/>
  <c r="F34" i="14"/>
  <c r="G34" i="14"/>
  <c r="H34" i="14"/>
  <c r="I34" i="14"/>
  <c r="J34" i="14"/>
  <c r="K34" i="14"/>
  <c r="L34" i="14"/>
  <c r="M34" i="14"/>
  <c r="N34" i="14"/>
  <c r="O34" i="14"/>
  <c r="A34" i="14"/>
  <c r="A33" i="14"/>
  <c r="X34" i="45"/>
  <c r="X38" i="45" s="1"/>
  <c r="W34" i="45"/>
  <c r="W38" i="45" s="1"/>
  <c r="V34" i="45"/>
  <c r="V37" i="45" s="1"/>
  <c r="U34" i="45"/>
  <c r="U38" i="45" s="1"/>
  <c r="T34" i="45"/>
  <c r="T38" i="45" s="1"/>
  <c r="S34" i="45"/>
  <c r="S38" i="45" s="1"/>
  <c r="R34" i="45"/>
  <c r="R37" i="45" s="1"/>
  <c r="Q34" i="45"/>
  <c r="Q38" i="45" s="1"/>
  <c r="P34" i="45"/>
  <c r="P38" i="45" s="1"/>
  <c r="O34" i="45"/>
  <c r="O38" i="45" s="1"/>
  <c r="N34" i="45"/>
  <c r="N37" i="45" s="1"/>
  <c r="M34" i="45"/>
  <c r="M38" i="45" s="1"/>
  <c r="L34" i="45"/>
  <c r="L38" i="45" s="1"/>
  <c r="K34" i="45"/>
  <c r="K38" i="45" s="1"/>
  <c r="J34" i="45"/>
  <c r="J37" i="45" s="1"/>
  <c r="G34" i="45"/>
  <c r="F34" i="45"/>
  <c r="Y33" i="45"/>
  <c r="Y32" i="45"/>
  <c r="Y31" i="45"/>
  <c r="Y30" i="45"/>
  <c r="Y29" i="45"/>
  <c r="Y28" i="45"/>
  <c r="Y27" i="45"/>
  <c r="Y26" i="45"/>
  <c r="Y25" i="45"/>
  <c r="Y24" i="45"/>
  <c r="Y23" i="45"/>
  <c r="Y22" i="45"/>
  <c r="Y21" i="45"/>
  <c r="Y20" i="45"/>
  <c r="Y19" i="45"/>
  <c r="Y18" i="45"/>
  <c r="Y17" i="45"/>
  <c r="Y16" i="45"/>
  <c r="Y15" i="45"/>
  <c r="Y14" i="45"/>
  <c r="Y13" i="45"/>
  <c r="Y12" i="45"/>
  <c r="Y11" i="45"/>
  <c r="Y10" i="45"/>
  <c r="Y9" i="45"/>
  <c r="Y8" i="45"/>
  <c r="Y7" i="45"/>
  <c r="Y6" i="45"/>
  <c r="Y5" i="45"/>
  <c r="Y4" i="45"/>
  <c r="Y3" i="45"/>
  <c r="E3" i="45"/>
  <c r="I3" i="45" s="1"/>
  <c r="Z1" i="45"/>
  <c r="X34" i="44"/>
  <c r="X38" i="44" s="1"/>
  <c r="W34" i="44"/>
  <c r="W37" i="44" s="1"/>
  <c r="V34" i="44"/>
  <c r="V37" i="44" s="1"/>
  <c r="U34" i="44"/>
  <c r="U38" i="44" s="1"/>
  <c r="T34" i="44"/>
  <c r="T38" i="44" s="1"/>
  <c r="S34" i="44"/>
  <c r="S37" i="44" s="1"/>
  <c r="R34" i="44"/>
  <c r="R37" i="44" s="1"/>
  <c r="Q34" i="44"/>
  <c r="Q38" i="44" s="1"/>
  <c r="P34" i="44"/>
  <c r="P38" i="44" s="1"/>
  <c r="O34" i="44"/>
  <c r="O37" i="44" s="1"/>
  <c r="N34" i="44"/>
  <c r="N37" i="44" s="1"/>
  <c r="M34" i="44"/>
  <c r="M38" i="44" s="1"/>
  <c r="L34" i="44"/>
  <c r="L38" i="44" s="1"/>
  <c r="K34" i="44"/>
  <c r="K37" i="44" s="1"/>
  <c r="J34" i="44"/>
  <c r="J37" i="44" s="1"/>
  <c r="G34" i="44"/>
  <c r="F34" i="44"/>
  <c r="C4" i="44" s="1"/>
  <c r="Y33" i="44"/>
  <c r="Y32" i="44"/>
  <c r="Y31" i="44"/>
  <c r="Y30" i="44"/>
  <c r="Y29" i="44"/>
  <c r="Y28" i="44"/>
  <c r="Y27" i="44"/>
  <c r="Y26" i="44"/>
  <c r="Y25" i="44"/>
  <c r="Y24" i="44"/>
  <c r="Y23" i="44"/>
  <c r="Y22" i="44"/>
  <c r="Y21" i="44"/>
  <c r="Y20" i="44"/>
  <c r="Y19" i="44"/>
  <c r="Y18" i="44"/>
  <c r="Y17" i="44"/>
  <c r="Y16" i="44"/>
  <c r="Y15" i="44"/>
  <c r="Y14" i="44"/>
  <c r="Y13" i="44"/>
  <c r="Y12" i="44"/>
  <c r="Y11" i="44"/>
  <c r="Y10" i="44"/>
  <c r="Y9" i="44"/>
  <c r="Y8" i="44"/>
  <c r="Y7" i="44"/>
  <c r="Y6" i="44"/>
  <c r="Y5" i="44"/>
  <c r="Y4" i="44"/>
  <c r="Y3" i="44"/>
  <c r="E3" i="44"/>
  <c r="I3" i="44" s="1"/>
  <c r="Z1" i="44"/>
  <c r="X34" i="43"/>
  <c r="X38" i="43" s="1"/>
  <c r="W34" i="43"/>
  <c r="W37" i="43" s="1"/>
  <c r="V34" i="43"/>
  <c r="V38" i="43" s="1"/>
  <c r="U34" i="43"/>
  <c r="U37" i="43" s="1"/>
  <c r="T34" i="43"/>
  <c r="T38" i="43" s="1"/>
  <c r="S34" i="43"/>
  <c r="S37" i="43" s="1"/>
  <c r="R34" i="43"/>
  <c r="R38" i="43" s="1"/>
  <c r="Q34" i="43"/>
  <c r="Q37" i="43" s="1"/>
  <c r="P34" i="43"/>
  <c r="P38" i="43" s="1"/>
  <c r="O34" i="43"/>
  <c r="O37" i="43" s="1"/>
  <c r="N34" i="43"/>
  <c r="N38" i="43" s="1"/>
  <c r="M34" i="43"/>
  <c r="M37" i="43" s="1"/>
  <c r="L34" i="43"/>
  <c r="L38" i="43" s="1"/>
  <c r="K34" i="43"/>
  <c r="K37" i="43" s="1"/>
  <c r="J34" i="43"/>
  <c r="J38" i="43" s="1"/>
  <c r="G34" i="43"/>
  <c r="C4" i="43"/>
  <c r="Y33" i="43"/>
  <c r="Y32" i="43"/>
  <c r="Y31" i="43"/>
  <c r="Y30" i="43"/>
  <c r="Y29" i="43"/>
  <c r="Y28" i="43"/>
  <c r="Y27" i="43"/>
  <c r="Y26" i="43"/>
  <c r="Y25" i="43"/>
  <c r="Y24" i="43"/>
  <c r="Y23" i="43"/>
  <c r="Y22" i="43"/>
  <c r="Y21" i="43"/>
  <c r="Y20" i="43"/>
  <c r="Y18" i="43"/>
  <c r="Y17" i="43"/>
  <c r="Y16" i="43"/>
  <c r="Y15" i="43"/>
  <c r="Y14" i="43"/>
  <c r="Y13" i="43"/>
  <c r="Y12" i="43"/>
  <c r="Y11" i="43"/>
  <c r="Y10" i="43"/>
  <c r="Y9" i="43"/>
  <c r="C20" i="43"/>
  <c r="Y8" i="43"/>
  <c r="Y7" i="43"/>
  <c r="Y6" i="43"/>
  <c r="Y5" i="43"/>
  <c r="Y4" i="43"/>
  <c r="Y3" i="43"/>
  <c r="E3" i="43"/>
  <c r="E4" i="43" s="1"/>
  <c r="Z1" i="43"/>
  <c r="X34" i="42"/>
  <c r="X38" i="42" s="1"/>
  <c r="W34" i="42"/>
  <c r="W38" i="42" s="1"/>
  <c r="V34" i="42"/>
  <c r="V37" i="42" s="1"/>
  <c r="U34" i="42"/>
  <c r="U38" i="42" s="1"/>
  <c r="T34" i="42"/>
  <c r="T38" i="42" s="1"/>
  <c r="S34" i="42"/>
  <c r="S38" i="42" s="1"/>
  <c r="R34" i="42"/>
  <c r="R37" i="42" s="1"/>
  <c r="Q34" i="42"/>
  <c r="Q38" i="42" s="1"/>
  <c r="P34" i="42"/>
  <c r="P38" i="42" s="1"/>
  <c r="O34" i="42"/>
  <c r="O38" i="42" s="1"/>
  <c r="N34" i="42"/>
  <c r="N37" i="42" s="1"/>
  <c r="M34" i="42"/>
  <c r="M38" i="42" s="1"/>
  <c r="L34" i="42"/>
  <c r="L38" i="42" s="1"/>
  <c r="K34" i="42"/>
  <c r="K38" i="42" s="1"/>
  <c r="J34" i="42"/>
  <c r="J37" i="42" s="1"/>
  <c r="G34" i="42"/>
  <c r="F34" i="42"/>
  <c r="C4" i="42" s="1"/>
  <c r="Y33" i="42"/>
  <c r="Y32" i="42"/>
  <c r="Y31" i="42"/>
  <c r="Y30" i="42"/>
  <c r="Y29" i="42"/>
  <c r="Y28" i="42"/>
  <c r="Y27" i="42"/>
  <c r="Y26" i="42"/>
  <c r="Y25" i="42"/>
  <c r="Y24" i="42"/>
  <c r="Y23" i="42"/>
  <c r="Y22" i="42"/>
  <c r="Y21" i="42"/>
  <c r="Y20" i="42"/>
  <c r="Y19" i="42"/>
  <c r="Y18" i="42"/>
  <c r="Y17" i="42"/>
  <c r="Y16" i="42"/>
  <c r="Y15" i="42"/>
  <c r="Y14" i="42"/>
  <c r="Y13" i="42"/>
  <c r="Y12" i="42"/>
  <c r="Y11" i="42"/>
  <c r="Y10" i="42"/>
  <c r="Y9" i="42"/>
  <c r="Y8" i="42"/>
  <c r="Y7" i="42"/>
  <c r="Y6" i="42"/>
  <c r="Y5" i="42"/>
  <c r="Y4" i="42"/>
  <c r="Y3" i="42"/>
  <c r="E3" i="42"/>
  <c r="I3" i="42" s="1"/>
  <c r="Z1" i="42"/>
  <c r="X34" i="41"/>
  <c r="X38" i="41" s="1"/>
  <c r="W34" i="41"/>
  <c r="W38" i="41" s="1"/>
  <c r="V34" i="41"/>
  <c r="V37" i="41" s="1"/>
  <c r="U34" i="41"/>
  <c r="U38" i="41" s="1"/>
  <c r="T34" i="41"/>
  <c r="T38" i="41" s="1"/>
  <c r="S34" i="41"/>
  <c r="S38" i="41" s="1"/>
  <c r="R34" i="41"/>
  <c r="R37" i="41" s="1"/>
  <c r="Q34" i="41"/>
  <c r="Q38" i="41" s="1"/>
  <c r="P34" i="41"/>
  <c r="P38" i="41" s="1"/>
  <c r="O34" i="41"/>
  <c r="O38" i="41" s="1"/>
  <c r="N34" i="41"/>
  <c r="N37" i="41" s="1"/>
  <c r="M34" i="41"/>
  <c r="M38" i="41" s="1"/>
  <c r="L34" i="41"/>
  <c r="L38" i="41" s="1"/>
  <c r="K34" i="41"/>
  <c r="K38" i="41" s="1"/>
  <c r="J34" i="41"/>
  <c r="J37" i="41" s="1"/>
  <c r="G34" i="41"/>
  <c r="F34" i="41"/>
  <c r="C4" i="41" s="1"/>
  <c r="Y33" i="41"/>
  <c r="Y32" i="41"/>
  <c r="Y31" i="41"/>
  <c r="Y30" i="41"/>
  <c r="Y29" i="41"/>
  <c r="Y28" i="41"/>
  <c r="Y27" i="41"/>
  <c r="Y26" i="41"/>
  <c r="Y25" i="41"/>
  <c r="Y24" i="41"/>
  <c r="Y23" i="41"/>
  <c r="Y22" i="41"/>
  <c r="Y21" i="41"/>
  <c r="Y20" i="41"/>
  <c r="Y19" i="41"/>
  <c r="Y18" i="41"/>
  <c r="Y17" i="41"/>
  <c r="Y16" i="41"/>
  <c r="Y15" i="41"/>
  <c r="Y14" i="41"/>
  <c r="Y13" i="41"/>
  <c r="Y12" i="41"/>
  <c r="Y11" i="41"/>
  <c r="Y10" i="41"/>
  <c r="Y9" i="41"/>
  <c r="Y8" i="41"/>
  <c r="Y7" i="41"/>
  <c r="Y6" i="41"/>
  <c r="Y5" i="41"/>
  <c r="Y4" i="41"/>
  <c r="Y3" i="41"/>
  <c r="E3" i="41"/>
  <c r="I3" i="41" s="1"/>
  <c r="Z1" i="41"/>
  <c r="X34" i="40"/>
  <c r="X38" i="40" s="1"/>
  <c r="W34" i="40"/>
  <c r="W37" i="40" s="1"/>
  <c r="V34" i="40"/>
  <c r="V38" i="40" s="1"/>
  <c r="U34" i="40"/>
  <c r="U37" i="40" s="1"/>
  <c r="T34" i="40"/>
  <c r="T38" i="40" s="1"/>
  <c r="S34" i="40"/>
  <c r="S37" i="40" s="1"/>
  <c r="R34" i="40"/>
  <c r="R37" i="40" s="1"/>
  <c r="Q34" i="40"/>
  <c r="Q37" i="40" s="1"/>
  <c r="P34" i="40"/>
  <c r="P38" i="40" s="1"/>
  <c r="O34" i="40"/>
  <c r="O37" i="40" s="1"/>
  <c r="N34" i="40"/>
  <c r="N38" i="40" s="1"/>
  <c r="M34" i="40"/>
  <c r="M38" i="40" s="1"/>
  <c r="L34" i="40"/>
  <c r="L38" i="40" s="1"/>
  <c r="K34" i="40"/>
  <c r="K37" i="40" s="1"/>
  <c r="J34" i="40"/>
  <c r="J38" i="40" s="1"/>
  <c r="G34" i="40"/>
  <c r="F34" i="40"/>
  <c r="C4" i="40" s="1"/>
  <c r="Y33" i="40"/>
  <c r="Y32" i="40"/>
  <c r="Y31" i="40"/>
  <c r="Y30" i="40"/>
  <c r="Y29" i="40"/>
  <c r="Y28" i="40"/>
  <c r="Y27" i="40"/>
  <c r="Y26" i="40"/>
  <c r="Y25" i="40"/>
  <c r="Y24" i="40"/>
  <c r="Y23" i="40"/>
  <c r="Y22" i="40"/>
  <c r="Y21" i="40"/>
  <c r="Y20" i="40"/>
  <c r="Y19" i="40"/>
  <c r="Y18" i="40"/>
  <c r="Y17" i="40"/>
  <c r="Y16" i="40"/>
  <c r="Y15" i="40"/>
  <c r="Y14" i="40"/>
  <c r="Y13" i="40"/>
  <c r="Y12" i="40"/>
  <c r="Y11" i="40"/>
  <c r="Y10" i="40"/>
  <c r="Y9" i="40"/>
  <c r="C20" i="40"/>
  <c r="Y8" i="40"/>
  <c r="Y7" i="40"/>
  <c r="Y6" i="40"/>
  <c r="Y5" i="40"/>
  <c r="Y4" i="40"/>
  <c r="Y3" i="40"/>
  <c r="E3" i="40"/>
  <c r="E4" i="40" s="1"/>
  <c r="Z1" i="40"/>
  <c r="X34" i="39"/>
  <c r="X38" i="39" s="1"/>
  <c r="W34" i="39"/>
  <c r="W37" i="39" s="1"/>
  <c r="V34" i="39"/>
  <c r="V38" i="39" s="1"/>
  <c r="U34" i="39"/>
  <c r="U37" i="39" s="1"/>
  <c r="T34" i="39"/>
  <c r="T38" i="39" s="1"/>
  <c r="S34" i="39"/>
  <c r="S37" i="39" s="1"/>
  <c r="R34" i="39"/>
  <c r="R38" i="39" s="1"/>
  <c r="Q34" i="39"/>
  <c r="Q37" i="39" s="1"/>
  <c r="P34" i="39"/>
  <c r="P38" i="39" s="1"/>
  <c r="O34" i="39"/>
  <c r="O37" i="39" s="1"/>
  <c r="N34" i="39"/>
  <c r="N38" i="39" s="1"/>
  <c r="M34" i="39"/>
  <c r="M37" i="39" s="1"/>
  <c r="L34" i="39"/>
  <c r="L38" i="39" s="1"/>
  <c r="K34" i="39"/>
  <c r="K37" i="39" s="1"/>
  <c r="J34" i="39"/>
  <c r="J38" i="39" s="1"/>
  <c r="G34" i="39"/>
  <c r="F34" i="39"/>
  <c r="C4" i="39" s="1"/>
  <c r="Y33" i="39"/>
  <c r="Y32" i="39"/>
  <c r="Y31" i="39"/>
  <c r="Y30" i="39"/>
  <c r="Y29" i="39"/>
  <c r="Y28" i="39"/>
  <c r="Y27" i="39"/>
  <c r="Y26" i="39"/>
  <c r="Y25" i="39"/>
  <c r="Y24" i="39"/>
  <c r="Y23" i="39"/>
  <c r="Y22" i="39"/>
  <c r="Y21" i="39"/>
  <c r="Y20" i="39"/>
  <c r="Y19" i="39"/>
  <c r="Y18" i="39"/>
  <c r="Y17" i="39"/>
  <c r="Y16" i="39"/>
  <c r="Y15" i="39"/>
  <c r="Y14" i="39"/>
  <c r="Y13" i="39"/>
  <c r="Y12" i="39"/>
  <c r="Y11" i="39"/>
  <c r="Y10" i="39"/>
  <c r="Y9" i="39"/>
  <c r="Y8" i="39"/>
  <c r="Y7" i="39"/>
  <c r="Y6" i="39"/>
  <c r="Y5" i="39"/>
  <c r="Y4" i="39"/>
  <c r="Y3" i="39"/>
  <c r="E3" i="39"/>
  <c r="E4" i="39" s="1"/>
  <c r="Z1" i="39"/>
  <c r="X34" i="38"/>
  <c r="X38" i="38" s="1"/>
  <c r="W34" i="38"/>
  <c r="W37" i="38" s="1"/>
  <c r="V34" i="38"/>
  <c r="V38" i="38" s="1"/>
  <c r="U34" i="38"/>
  <c r="U37" i="38" s="1"/>
  <c r="T34" i="38"/>
  <c r="T38" i="38" s="1"/>
  <c r="S34" i="38"/>
  <c r="S37" i="38" s="1"/>
  <c r="R34" i="38"/>
  <c r="R38" i="38" s="1"/>
  <c r="Q34" i="38"/>
  <c r="Q37" i="38" s="1"/>
  <c r="P34" i="38"/>
  <c r="P38" i="38" s="1"/>
  <c r="O34" i="38"/>
  <c r="O37" i="38" s="1"/>
  <c r="N34" i="38"/>
  <c r="N38" i="38" s="1"/>
  <c r="M34" i="38"/>
  <c r="M37" i="38" s="1"/>
  <c r="L34" i="38"/>
  <c r="L38" i="38" s="1"/>
  <c r="K34" i="38"/>
  <c r="K37" i="38" s="1"/>
  <c r="J34" i="38"/>
  <c r="J38" i="38" s="1"/>
  <c r="G34" i="38"/>
  <c r="F34" i="38"/>
  <c r="Y33" i="38"/>
  <c r="Y32" i="38"/>
  <c r="Y31" i="38"/>
  <c r="Y30" i="38"/>
  <c r="Y29" i="38"/>
  <c r="Y28" i="38"/>
  <c r="Y27" i="38"/>
  <c r="Y26" i="38"/>
  <c r="Y25" i="38"/>
  <c r="Y24" i="38"/>
  <c r="Y23" i="38"/>
  <c r="Y22" i="38"/>
  <c r="Y21" i="38"/>
  <c r="Y20" i="38"/>
  <c r="Y19" i="38"/>
  <c r="Y18" i="38"/>
  <c r="Y17" i="38"/>
  <c r="Y16" i="38"/>
  <c r="Y15" i="38"/>
  <c r="Y14" i="38"/>
  <c r="Y13" i="38"/>
  <c r="Y12" i="38"/>
  <c r="Y11" i="38"/>
  <c r="Y10" i="38"/>
  <c r="Y9" i="38"/>
  <c r="Y8" i="38"/>
  <c r="Y7" i="38"/>
  <c r="Y6" i="38"/>
  <c r="Y5" i="38"/>
  <c r="Y4" i="38"/>
  <c r="Y3" i="38"/>
  <c r="E3" i="38"/>
  <c r="E4" i="38" s="1"/>
  <c r="Z1" i="38"/>
  <c r="X34" i="37"/>
  <c r="X38" i="37" s="1"/>
  <c r="W34" i="37"/>
  <c r="W37" i="37" s="1"/>
  <c r="V34" i="37"/>
  <c r="V37" i="37" s="1"/>
  <c r="U34" i="37"/>
  <c r="U37" i="37" s="1"/>
  <c r="T34" i="37"/>
  <c r="T38" i="37" s="1"/>
  <c r="S34" i="37"/>
  <c r="S37" i="37" s="1"/>
  <c r="R34" i="37"/>
  <c r="R37" i="37" s="1"/>
  <c r="Q34" i="37"/>
  <c r="Q37" i="37" s="1"/>
  <c r="P34" i="37"/>
  <c r="P38" i="37" s="1"/>
  <c r="O34" i="37"/>
  <c r="O37" i="37" s="1"/>
  <c r="N34" i="37"/>
  <c r="N37" i="37" s="1"/>
  <c r="M34" i="37"/>
  <c r="M37" i="37" s="1"/>
  <c r="L34" i="37"/>
  <c r="L38" i="37" s="1"/>
  <c r="K34" i="37"/>
  <c r="K37" i="37" s="1"/>
  <c r="J34" i="37"/>
  <c r="J37" i="37" s="1"/>
  <c r="G34" i="37"/>
  <c r="F34" i="37"/>
  <c r="C4" i="37" s="1"/>
  <c r="Y33" i="37"/>
  <c r="Y32" i="37"/>
  <c r="Y31" i="37"/>
  <c r="Y30" i="37"/>
  <c r="Y29" i="37"/>
  <c r="Y28" i="37"/>
  <c r="Y27" i="37"/>
  <c r="Y26" i="37"/>
  <c r="Y25" i="37"/>
  <c r="Y24" i="37"/>
  <c r="Y23" i="37"/>
  <c r="Y22" i="37"/>
  <c r="Y21" i="37"/>
  <c r="Y20" i="37"/>
  <c r="Y19" i="37"/>
  <c r="Y18" i="37"/>
  <c r="Y17" i="37"/>
  <c r="Y16" i="37"/>
  <c r="Y15" i="37"/>
  <c r="Y14" i="37"/>
  <c r="Y13" i="37"/>
  <c r="Y12" i="37"/>
  <c r="Y11" i="37"/>
  <c r="Y10" i="37"/>
  <c r="Y9" i="37"/>
  <c r="Y8" i="37"/>
  <c r="Y7" i="37"/>
  <c r="Y6" i="37"/>
  <c r="Y5" i="37"/>
  <c r="Y4" i="37"/>
  <c r="Y3" i="37"/>
  <c r="E3" i="37"/>
  <c r="I3" i="37" s="1"/>
  <c r="Z1" i="37"/>
  <c r="X34" i="36"/>
  <c r="X38" i="36" s="1"/>
  <c r="W34" i="36"/>
  <c r="W38" i="36" s="1"/>
  <c r="V34" i="36"/>
  <c r="V37" i="36" s="1"/>
  <c r="U34" i="36"/>
  <c r="U38" i="36" s="1"/>
  <c r="T34" i="36"/>
  <c r="T38" i="36" s="1"/>
  <c r="S34" i="36"/>
  <c r="S38" i="36" s="1"/>
  <c r="R34" i="36"/>
  <c r="R37" i="36" s="1"/>
  <c r="Q34" i="36"/>
  <c r="Q38" i="36" s="1"/>
  <c r="P34" i="36"/>
  <c r="P38" i="36" s="1"/>
  <c r="O34" i="36"/>
  <c r="O38" i="36" s="1"/>
  <c r="N34" i="36"/>
  <c r="N37" i="36" s="1"/>
  <c r="M34" i="36"/>
  <c r="M38" i="36" s="1"/>
  <c r="K34" i="36"/>
  <c r="K38" i="36" s="1"/>
  <c r="J34" i="36"/>
  <c r="J37" i="36" s="1"/>
  <c r="G34" i="36"/>
  <c r="F34" i="36"/>
  <c r="Y33" i="36"/>
  <c r="Y32" i="36"/>
  <c r="Y31" i="36"/>
  <c r="Y30" i="36"/>
  <c r="Y29" i="36"/>
  <c r="Y28" i="36"/>
  <c r="Y27" i="36"/>
  <c r="Y26" i="36"/>
  <c r="Y25" i="36"/>
  <c r="Y24" i="36"/>
  <c r="Y23" i="36"/>
  <c r="Y22" i="36"/>
  <c r="Y21" i="36"/>
  <c r="Y20" i="36"/>
  <c r="Y19" i="36"/>
  <c r="Y18" i="36"/>
  <c r="Y17" i="36"/>
  <c r="Y16" i="36"/>
  <c r="Y15" i="36"/>
  <c r="Y14" i="36"/>
  <c r="Y13" i="36"/>
  <c r="Y12" i="36"/>
  <c r="Y11" i="36"/>
  <c r="Y10" i="36"/>
  <c r="Y9" i="36"/>
  <c r="C8" i="36"/>
  <c r="Y8" i="36"/>
  <c r="Y7" i="36"/>
  <c r="Y6" i="36"/>
  <c r="Y5" i="36"/>
  <c r="Y4" i="36"/>
  <c r="C4" i="36"/>
  <c r="Y3" i="36"/>
  <c r="E3" i="36"/>
  <c r="I3" i="36" s="1"/>
  <c r="Z1" i="36"/>
  <c r="X34" i="35"/>
  <c r="X38" i="35" s="1"/>
  <c r="W34" i="35"/>
  <c r="W38" i="35" s="1"/>
  <c r="V34" i="35"/>
  <c r="V37" i="35" s="1"/>
  <c r="U34" i="35"/>
  <c r="U38" i="35" s="1"/>
  <c r="T34" i="35"/>
  <c r="T38" i="35" s="1"/>
  <c r="S34" i="35"/>
  <c r="S38" i="35" s="1"/>
  <c r="R34" i="35"/>
  <c r="R37" i="35" s="1"/>
  <c r="Q34" i="35"/>
  <c r="Q38" i="35" s="1"/>
  <c r="P34" i="35"/>
  <c r="P38" i="35" s="1"/>
  <c r="O34" i="35"/>
  <c r="O38" i="35" s="1"/>
  <c r="N34" i="35"/>
  <c r="N37" i="35" s="1"/>
  <c r="M34" i="35"/>
  <c r="M38" i="35" s="1"/>
  <c r="L34" i="35"/>
  <c r="L38" i="35" s="1"/>
  <c r="K34" i="35"/>
  <c r="K38" i="35" s="1"/>
  <c r="J34" i="35"/>
  <c r="J37" i="35" s="1"/>
  <c r="G34" i="35"/>
  <c r="F34" i="35"/>
  <c r="C4" i="35" s="1"/>
  <c r="Y33" i="35"/>
  <c r="Y32" i="35"/>
  <c r="Y31" i="35"/>
  <c r="Y30" i="35"/>
  <c r="Y29" i="35"/>
  <c r="Y28" i="35"/>
  <c r="Y27" i="35"/>
  <c r="Y26" i="35"/>
  <c r="Y25" i="35"/>
  <c r="Y24" i="35"/>
  <c r="Y23" i="35"/>
  <c r="Y22" i="35"/>
  <c r="Y21" i="35"/>
  <c r="Y20" i="35"/>
  <c r="Y19" i="35"/>
  <c r="Y18" i="35"/>
  <c r="Y17" i="35"/>
  <c r="Y16" i="35"/>
  <c r="Y15" i="35"/>
  <c r="Y14" i="35"/>
  <c r="Y13" i="35"/>
  <c r="Y12" i="35"/>
  <c r="Y11" i="35"/>
  <c r="Y10" i="35"/>
  <c r="Y9" i="35"/>
  <c r="Y8" i="35"/>
  <c r="Y7" i="35"/>
  <c r="Y6" i="35"/>
  <c r="Y5" i="35"/>
  <c r="Y4" i="35"/>
  <c r="Y3" i="35"/>
  <c r="E3" i="35"/>
  <c r="I3" i="35" s="1"/>
  <c r="Z1" i="35"/>
  <c r="X34" i="33"/>
  <c r="X38" i="33" s="1"/>
  <c r="W34" i="33"/>
  <c r="W38" i="33" s="1"/>
  <c r="V34" i="33"/>
  <c r="V37" i="33" s="1"/>
  <c r="U34" i="33"/>
  <c r="U38" i="33" s="1"/>
  <c r="T34" i="33"/>
  <c r="T38" i="33" s="1"/>
  <c r="S34" i="33"/>
  <c r="S38" i="33" s="1"/>
  <c r="R34" i="33"/>
  <c r="R37" i="33" s="1"/>
  <c r="Q34" i="33"/>
  <c r="Q38" i="33" s="1"/>
  <c r="P34" i="33"/>
  <c r="P38" i="33" s="1"/>
  <c r="O34" i="33"/>
  <c r="O38" i="33" s="1"/>
  <c r="N34" i="33"/>
  <c r="N37" i="33" s="1"/>
  <c r="M34" i="33"/>
  <c r="M38" i="33" s="1"/>
  <c r="L34" i="33"/>
  <c r="L38" i="33" s="1"/>
  <c r="K34" i="33"/>
  <c r="K38" i="33" s="1"/>
  <c r="J34" i="33"/>
  <c r="J37" i="33" s="1"/>
  <c r="F34" i="33"/>
  <c r="C4" i="33" s="1"/>
  <c r="Y33" i="33"/>
  <c r="Y32" i="33"/>
  <c r="Y31" i="33"/>
  <c r="Y30" i="33"/>
  <c r="Y29" i="33"/>
  <c r="Y28" i="33"/>
  <c r="Y27" i="33"/>
  <c r="Y26" i="33"/>
  <c r="Y25" i="33"/>
  <c r="Y24" i="33"/>
  <c r="Y23" i="33"/>
  <c r="Y22" i="33"/>
  <c r="Y21" i="33"/>
  <c r="Y20" i="33"/>
  <c r="Y19" i="33"/>
  <c r="Y18" i="33"/>
  <c r="G34" i="33"/>
  <c r="Y17" i="33"/>
  <c r="Y16" i="33"/>
  <c r="Y15" i="33"/>
  <c r="Y14" i="33"/>
  <c r="Y13" i="33"/>
  <c r="Y12" i="33"/>
  <c r="Y11" i="33"/>
  <c r="Y10" i="33"/>
  <c r="Y9" i="33"/>
  <c r="C8" i="33"/>
  <c r="Y8" i="33"/>
  <c r="Y7" i="33"/>
  <c r="Y6" i="33"/>
  <c r="Y5" i="33"/>
  <c r="Y4" i="33"/>
  <c r="Y3" i="33"/>
  <c r="E3" i="33"/>
  <c r="I3" i="33" s="1"/>
  <c r="Z1" i="33"/>
  <c r="G35" i="45" l="1"/>
  <c r="U37" i="45"/>
  <c r="Q37" i="45"/>
  <c r="M37" i="45"/>
  <c r="J37" i="43"/>
  <c r="V37" i="43"/>
  <c r="R37" i="43"/>
  <c r="S37" i="42"/>
  <c r="G35" i="41"/>
  <c r="U37" i="41"/>
  <c r="Q37" i="41"/>
  <c r="M37" i="41"/>
  <c r="T37" i="40"/>
  <c r="P37" i="40"/>
  <c r="L37" i="40"/>
  <c r="G35" i="40"/>
  <c r="G35" i="38"/>
  <c r="T37" i="38"/>
  <c r="L37" i="38"/>
  <c r="C16" i="39"/>
  <c r="C18" i="39" s="1"/>
  <c r="C22" i="39" s="1"/>
  <c r="C27" i="39" s="1"/>
  <c r="C16" i="45"/>
  <c r="K37" i="33"/>
  <c r="O37" i="36"/>
  <c r="W37" i="36"/>
  <c r="Y34" i="45"/>
  <c r="Q37" i="33"/>
  <c r="G35" i="36"/>
  <c r="Q37" i="36"/>
  <c r="G35" i="37"/>
  <c r="C4" i="38"/>
  <c r="Y34" i="38"/>
  <c r="N37" i="38"/>
  <c r="V37" i="38"/>
  <c r="I3" i="39"/>
  <c r="J37" i="39"/>
  <c r="K37" i="41"/>
  <c r="S37" i="41"/>
  <c r="C16" i="42"/>
  <c r="C18" i="42" s="1"/>
  <c r="C22" i="42" s="1"/>
  <c r="C27" i="42" s="1"/>
  <c r="K37" i="42"/>
  <c r="Y34" i="43"/>
  <c r="N37" i="43"/>
  <c r="C16" i="44"/>
  <c r="C18" i="44" s="1"/>
  <c r="C22" i="44" s="1"/>
  <c r="C27" i="44" s="1"/>
  <c r="G35" i="44"/>
  <c r="Q37" i="44"/>
  <c r="C4" i="45"/>
  <c r="O37" i="45"/>
  <c r="W37" i="45"/>
  <c r="S37" i="33"/>
  <c r="K37" i="36"/>
  <c r="S37" i="36"/>
  <c r="P37" i="38"/>
  <c r="X37" i="38"/>
  <c r="R37" i="39"/>
  <c r="Y34" i="40"/>
  <c r="Y34" i="41"/>
  <c r="Y34" i="42"/>
  <c r="Y34" i="36"/>
  <c r="M37" i="36"/>
  <c r="U37" i="36"/>
  <c r="J37" i="38"/>
  <c r="R37" i="38"/>
  <c r="X37" i="40"/>
  <c r="O37" i="41"/>
  <c r="W37" i="41"/>
  <c r="G35" i="43"/>
  <c r="K37" i="45"/>
  <c r="S37" i="45"/>
  <c r="U37" i="44"/>
  <c r="Y34" i="44"/>
  <c r="M37" i="44"/>
  <c r="M37" i="42"/>
  <c r="U37" i="42"/>
  <c r="O37" i="42"/>
  <c r="W37" i="42"/>
  <c r="G35" i="42"/>
  <c r="Q37" i="42"/>
  <c r="I3" i="43"/>
  <c r="G35" i="39"/>
  <c r="V37" i="39"/>
  <c r="Y34" i="39"/>
  <c r="N37" i="39"/>
  <c r="I3" i="38"/>
  <c r="Y34" i="37"/>
  <c r="K37" i="35"/>
  <c r="S37" i="35"/>
  <c r="Y34" i="35"/>
  <c r="M37" i="35"/>
  <c r="U37" i="35"/>
  <c r="O37" i="35"/>
  <c r="W37" i="35"/>
  <c r="G35" i="35"/>
  <c r="Q37" i="35"/>
  <c r="C20" i="45"/>
  <c r="L37" i="45"/>
  <c r="P37" i="45"/>
  <c r="T37" i="45"/>
  <c r="X37" i="45"/>
  <c r="E4" i="45"/>
  <c r="J38" i="45"/>
  <c r="N38" i="45"/>
  <c r="R38" i="45"/>
  <c r="V38" i="45"/>
  <c r="E4" i="44"/>
  <c r="C20" i="44"/>
  <c r="L37" i="44"/>
  <c r="P37" i="44"/>
  <c r="T37" i="44"/>
  <c r="X37" i="44"/>
  <c r="J38" i="44"/>
  <c r="N38" i="44"/>
  <c r="R38" i="44"/>
  <c r="V38" i="44"/>
  <c r="K38" i="44"/>
  <c r="O38" i="44"/>
  <c r="S38" i="44"/>
  <c r="W38" i="44"/>
  <c r="I4" i="43"/>
  <c r="E5" i="43"/>
  <c r="L37" i="43"/>
  <c r="P37" i="43"/>
  <c r="T37" i="43"/>
  <c r="X37" i="43"/>
  <c r="M38" i="43"/>
  <c r="Q38" i="43"/>
  <c r="U38" i="43"/>
  <c r="K38" i="43"/>
  <c r="S38" i="43"/>
  <c r="W38" i="43"/>
  <c r="O38" i="43"/>
  <c r="C20" i="42"/>
  <c r="L37" i="42"/>
  <c r="P37" i="42"/>
  <c r="T37" i="42"/>
  <c r="X37" i="42"/>
  <c r="E4" i="42"/>
  <c r="J38" i="42"/>
  <c r="N38" i="42"/>
  <c r="R38" i="42"/>
  <c r="V38" i="42"/>
  <c r="C20" i="41"/>
  <c r="L37" i="41"/>
  <c r="P37" i="41"/>
  <c r="T37" i="41"/>
  <c r="X37" i="41"/>
  <c r="E4" i="41"/>
  <c r="J38" i="41"/>
  <c r="N38" i="41"/>
  <c r="R38" i="41"/>
  <c r="V38" i="41"/>
  <c r="E5" i="40"/>
  <c r="I4" i="40"/>
  <c r="U38" i="40"/>
  <c r="M37" i="40"/>
  <c r="R38" i="40"/>
  <c r="I3" i="40"/>
  <c r="C16" i="40"/>
  <c r="C18" i="40" s="1"/>
  <c r="C22" i="40" s="1"/>
  <c r="C27" i="40" s="1"/>
  <c r="J37" i="40"/>
  <c r="N37" i="40"/>
  <c r="V37" i="40"/>
  <c r="K38" i="40"/>
  <c r="O38" i="40"/>
  <c r="S38" i="40"/>
  <c r="W38" i="40"/>
  <c r="Q38" i="40"/>
  <c r="I4" i="39"/>
  <c r="E5" i="39"/>
  <c r="C20" i="39"/>
  <c r="L37" i="39"/>
  <c r="P37" i="39"/>
  <c r="T37" i="39"/>
  <c r="X37" i="39"/>
  <c r="M38" i="39"/>
  <c r="Q38" i="39"/>
  <c r="U38" i="39"/>
  <c r="K38" i="39"/>
  <c r="O38" i="39"/>
  <c r="S38" i="39"/>
  <c r="W38" i="39"/>
  <c r="E5" i="38"/>
  <c r="I4" i="38"/>
  <c r="C20" i="38"/>
  <c r="M38" i="38"/>
  <c r="Q38" i="38"/>
  <c r="U38" i="38"/>
  <c r="K38" i="38"/>
  <c r="O38" i="38"/>
  <c r="S38" i="38"/>
  <c r="W38" i="38"/>
  <c r="C20" i="37"/>
  <c r="L37" i="37"/>
  <c r="P37" i="37"/>
  <c r="T37" i="37"/>
  <c r="X37" i="37"/>
  <c r="M38" i="37"/>
  <c r="Q38" i="37"/>
  <c r="U38" i="37"/>
  <c r="E4" i="37"/>
  <c r="J38" i="37"/>
  <c r="N38" i="37"/>
  <c r="R38" i="37"/>
  <c r="V38" i="37"/>
  <c r="K38" i="37"/>
  <c r="O38" i="37"/>
  <c r="S38" i="37"/>
  <c r="W38" i="37"/>
  <c r="C20" i="36"/>
  <c r="L37" i="36"/>
  <c r="P37" i="36"/>
  <c r="T37" i="36"/>
  <c r="X37" i="36"/>
  <c r="J38" i="36"/>
  <c r="N38" i="36"/>
  <c r="R38" i="36"/>
  <c r="V38" i="36"/>
  <c r="E4" i="36"/>
  <c r="C20" i="35"/>
  <c r="L37" i="35"/>
  <c r="P37" i="35"/>
  <c r="T37" i="35"/>
  <c r="X37" i="35"/>
  <c r="J38" i="35"/>
  <c r="N38" i="35"/>
  <c r="R38" i="35"/>
  <c r="V38" i="35"/>
  <c r="E4" i="35"/>
  <c r="M37" i="33"/>
  <c r="U37" i="33"/>
  <c r="Y34" i="33"/>
  <c r="O37" i="33"/>
  <c r="W37" i="33"/>
  <c r="G35" i="33"/>
  <c r="C29" i="33" s="1"/>
  <c r="C20" i="33"/>
  <c r="L37" i="33"/>
  <c r="P37" i="33"/>
  <c r="T37" i="33"/>
  <c r="X37" i="33"/>
  <c r="J38" i="33"/>
  <c r="N38" i="33"/>
  <c r="R38" i="33"/>
  <c r="V38" i="33"/>
  <c r="E4" i="33"/>
  <c r="C18" i="45" l="1"/>
  <c r="C22" i="45" s="1"/>
  <c r="C27" i="45" s="1"/>
  <c r="C29" i="35"/>
  <c r="C29" i="36" s="1"/>
  <c r="I4" i="45"/>
  <c r="E5" i="45"/>
  <c r="I4" i="44"/>
  <c r="E5" i="44"/>
  <c r="E6" i="43"/>
  <c r="I5" i="43"/>
  <c r="I4" i="42"/>
  <c r="E5" i="42"/>
  <c r="I4" i="41"/>
  <c r="E5" i="41"/>
  <c r="E6" i="40"/>
  <c r="I5" i="40"/>
  <c r="E6" i="39"/>
  <c r="I5" i="39"/>
  <c r="E6" i="38"/>
  <c r="I5" i="38"/>
  <c r="I4" i="37"/>
  <c r="E5" i="37"/>
  <c r="I4" i="36"/>
  <c r="E5" i="36"/>
  <c r="I4" i="35"/>
  <c r="E5" i="35"/>
  <c r="I4" i="33"/>
  <c r="E5" i="33"/>
  <c r="C29" i="37" l="1"/>
  <c r="E6" i="45"/>
  <c r="I5" i="45"/>
  <c r="E6" i="44"/>
  <c r="I5" i="44"/>
  <c r="I6" i="43"/>
  <c r="E7" i="43"/>
  <c r="E6" i="42"/>
  <c r="I5" i="42"/>
  <c r="E6" i="41"/>
  <c r="I5" i="41"/>
  <c r="I6" i="40"/>
  <c r="E7" i="40"/>
  <c r="E7" i="39"/>
  <c r="I6" i="39"/>
  <c r="I6" i="38"/>
  <c r="E7" i="38"/>
  <c r="E6" i="37"/>
  <c r="I5" i="37"/>
  <c r="E6" i="36"/>
  <c r="I5" i="36"/>
  <c r="E6" i="35"/>
  <c r="I5" i="35"/>
  <c r="I5" i="33"/>
  <c r="E6" i="33"/>
  <c r="C29" i="38" l="1"/>
  <c r="C29" i="39" s="1"/>
  <c r="C29" i="40" s="1"/>
  <c r="C29" i="41" s="1"/>
  <c r="C29" i="42" s="1"/>
  <c r="C29" i="43" s="1"/>
  <c r="C29" i="44" s="1"/>
  <c r="C29" i="45" s="1"/>
  <c r="E7" i="45"/>
  <c r="I6" i="45"/>
  <c r="E7" i="44"/>
  <c r="I6" i="44"/>
  <c r="I7" i="43"/>
  <c r="E8" i="43"/>
  <c r="E7" i="42"/>
  <c r="I6" i="42"/>
  <c r="E7" i="41"/>
  <c r="I6" i="41"/>
  <c r="I7" i="40"/>
  <c r="E8" i="40"/>
  <c r="I7" i="39"/>
  <c r="E8" i="39"/>
  <c r="I7" i="38"/>
  <c r="E8" i="38"/>
  <c r="E7" i="37"/>
  <c r="I6" i="37"/>
  <c r="E7" i="36"/>
  <c r="I6" i="36"/>
  <c r="E7" i="35"/>
  <c r="I6" i="35"/>
  <c r="E7" i="33"/>
  <c r="I6" i="33"/>
  <c r="I7" i="45" l="1"/>
  <c r="E8" i="45"/>
  <c r="I7" i="44"/>
  <c r="E8" i="44"/>
  <c r="I8" i="43"/>
  <c r="E9" i="43"/>
  <c r="I7" i="42"/>
  <c r="E8" i="42"/>
  <c r="I7" i="41"/>
  <c r="E8" i="41"/>
  <c r="E9" i="40"/>
  <c r="I8" i="40"/>
  <c r="I8" i="39"/>
  <c r="E9" i="39"/>
  <c r="I8" i="38"/>
  <c r="E9" i="38"/>
  <c r="I7" i="37"/>
  <c r="E8" i="37"/>
  <c r="I7" i="36"/>
  <c r="E8" i="36"/>
  <c r="I7" i="35"/>
  <c r="E8" i="35"/>
  <c r="E8" i="33"/>
  <c r="I7" i="33"/>
  <c r="C13" i="14"/>
  <c r="B38" i="14"/>
  <c r="K36" i="14"/>
  <c r="M42" i="14"/>
  <c r="O46" i="14"/>
  <c r="B24" i="14"/>
  <c r="H44" i="14"/>
  <c r="B37" i="14"/>
  <c r="N45" i="14"/>
  <c r="D24" i="14"/>
  <c r="C45" i="14"/>
  <c r="O42" i="14"/>
  <c r="C37" i="14"/>
  <c r="M44" i="14"/>
  <c r="C8" i="14"/>
  <c r="J37" i="14"/>
  <c r="B42" i="14"/>
  <c r="D9" i="14"/>
  <c r="D41" i="14"/>
  <c r="O35" i="14"/>
  <c r="C16" i="14"/>
  <c r="E24" i="14"/>
  <c r="D42" i="14"/>
  <c r="A44" i="14"/>
  <c r="E42" i="14"/>
  <c r="C15" i="14"/>
  <c r="D39" i="14"/>
  <c r="B25" i="14"/>
  <c r="H43" i="14"/>
  <c r="C12" i="14"/>
  <c r="B15" i="14"/>
  <c r="B39" i="14"/>
  <c r="A43" i="14"/>
  <c r="B8" i="14"/>
  <c r="I36" i="14"/>
  <c r="D16" i="14"/>
  <c r="K38" i="14"/>
  <c r="E43" i="14"/>
  <c r="M41" i="14"/>
  <c r="H38" i="14"/>
  <c r="L44" i="14"/>
  <c r="C36" i="14"/>
  <c r="L38" i="14"/>
  <c r="G42" i="14"/>
  <c r="C24" i="14"/>
  <c r="E30" i="14"/>
  <c r="N42" i="14"/>
  <c r="E36" i="14"/>
  <c r="C30" i="14"/>
  <c r="K35" i="14"/>
  <c r="E7" i="14"/>
  <c r="G45" i="14"/>
  <c r="M43" i="14"/>
  <c r="C35" i="14"/>
  <c r="E46" i="14"/>
  <c r="D8" i="14"/>
  <c r="I46" i="14"/>
  <c r="D15" i="14"/>
  <c r="F39" i="14"/>
  <c r="H36" i="14"/>
  <c r="C44" i="14"/>
  <c r="F36" i="14"/>
  <c r="D7" i="14"/>
  <c r="O44" i="14"/>
  <c r="J44" i="14"/>
  <c r="D46" i="14"/>
  <c r="D26" i="14"/>
  <c r="D37" i="14"/>
  <c r="B12" i="14"/>
  <c r="K46" i="14"/>
  <c r="D30" i="14"/>
  <c r="E40" i="14"/>
  <c r="L42" i="14"/>
  <c r="H42" i="14"/>
  <c r="C41" i="14"/>
  <c r="B35" i="14"/>
  <c r="G35" i="14"/>
  <c r="G44" i="14"/>
  <c r="G36" i="14"/>
  <c r="C11" i="14"/>
  <c r="O37" i="14"/>
  <c r="D45" i="14"/>
  <c r="G37" i="14"/>
  <c r="E12" i="14"/>
  <c r="G41" i="14"/>
  <c r="M38" i="14"/>
  <c r="K44" i="14"/>
  <c r="C43" i="14"/>
  <c r="C39" i="14"/>
  <c r="B27" i="14"/>
  <c r="D14" i="14"/>
  <c r="L45" i="14"/>
  <c r="G40" i="14"/>
  <c r="D13" i="14"/>
  <c r="B16" i="14"/>
  <c r="F43" i="14"/>
  <c r="E38" i="14"/>
  <c r="E27" i="14"/>
  <c r="M46" i="14"/>
  <c r="D5" i="14"/>
  <c r="K45" i="14"/>
  <c r="C5" i="14"/>
  <c r="D43" i="14"/>
  <c r="M35" i="14"/>
  <c r="J46" i="14"/>
  <c r="L40" i="14"/>
  <c r="L36" i="14"/>
  <c r="A42" i="14"/>
  <c r="D40" i="14"/>
  <c r="N41" i="14"/>
  <c r="C14" i="14"/>
  <c r="C26" i="14"/>
  <c r="J39" i="14"/>
  <c r="G43" i="14"/>
  <c r="D27" i="14"/>
  <c r="B41" i="14"/>
  <c r="O38" i="14"/>
  <c r="N46" i="14"/>
  <c r="L39" i="14"/>
  <c r="E35" i="14"/>
  <c r="K43" i="14"/>
  <c r="B40" i="14"/>
  <c r="E44" i="14"/>
  <c r="J41" i="14"/>
  <c r="B13" i="14"/>
  <c r="H35" i="14"/>
  <c r="E8" i="14"/>
  <c r="I37" i="14"/>
  <c r="L46" i="14"/>
  <c r="C40" i="14"/>
  <c r="D36" i="14"/>
  <c r="N35" i="14"/>
  <c r="E9" i="14"/>
  <c r="G39" i="14"/>
  <c r="H45" i="14"/>
  <c r="A41" i="14"/>
  <c r="E26" i="14"/>
  <c r="A45" i="14"/>
  <c r="J35" i="14"/>
  <c r="K42" i="14"/>
  <c r="E16" i="14"/>
  <c r="D25" i="14"/>
  <c r="L41" i="14"/>
  <c r="E14" i="14"/>
  <c r="M40" i="14"/>
  <c r="D44" i="14"/>
  <c r="A46" i="14"/>
  <c r="B45" i="14"/>
  <c r="H37" i="14"/>
  <c r="M39" i="14"/>
  <c r="H46" i="14"/>
  <c r="B46" i="14"/>
  <c r="A35" i="14"/>
  <c r="C7" i="14"/>
  <c r="E37" i="14"/>
  <c r="E25" i="14"/>
  <c r="E45" i="14"/>
  <c r="B9" i="14"/>
  <c r="N37" i="14"/>
  <c r="N43" i="14"/>
  <c r="B5" i="14"/>
  <c r="F46" i="14"/>
  <c r="F41" i="14"/>
  <c r="B43" i="14"/>
  <c r="J40" i="14"/>
  <c r="F44" i="14"/>
  <c r="B30" i="14"/>
  <c r="K39" i="14"/>
  <c r="N44" i="14"/>
  <c r="D12" i="14"/>
  <c r="O43" i="14"/>
  <c r="K40" i="14"/>
  <c r="B36" i="14"/>
  <c r="E15" i="14"/>
  <c r="N38" i="14"/>
  <c r="E11" i="14"/>
  <c r="E13" i="14"/>
  <c r="E21" i="14"/>
  <c r="L35" i="14"/>
  <c r="H40" i="14"/>
  <c r="J43" i="14"/>
  <c r="F38" i="14"/>
  <c r="F40" i="14"/>
  <c r="O41" i="14"/>
  <c r="K41" i="14"/>
  <c r="F45" i="14"/>
  <c r="C9" i="14"/>
  <c r="D11" i="14"/>
  <c r="A38" i="14"/>
  <c r="H41" i="14"/>
  <c r="M45" i="14"/>
  <c r="B14" i="14"/>
  <c r="A39" i="14"/>
  <c r="F37" i="14"/>
  <c r="O45" i="14"/>
  <c r="M36" i="14"/>
  <c r="B21" i="14"/>
  <c r="I43" i="14"/>
  <c r="F42" i="14"/>
  <c r="M37" i="14"/>
  <c r="B44" i="14"/>
  <c r="D35" i="14"/>
  <c r="I44" i="14"/>
  <c r="I45" i="14"/>
  <c r="K37" i="14"/>
  <c r="I42" i="14"/>
  <c r="I35" i="14"/>
  <c r="F35" i="14"/>
  <c r="C46" i="14"/>
  <c r="N39" i="14"/>
  <c r="C27" i="14"/>
  <c r="O40" i="14"/>
  <c r="N40" i="14"/>
  <c r="C25" i="14"/>
  <c r="G38" i="14"/>
  <c r="H39" i="14"/>
  <c r="L37" i="14"/>
  <c r="A36" i="14"/>
  <c r="C21" i="14"/>
  <c r="J42" i="14"/>
  <c r="B7" i="14"/>
  <c r="O36" i="14"/>
  <c r="N36" i="14"/>
  <c r="I38" i="14"/>
  <c r="I40" i="14"/>
  <c r="B26" i="14"/>
  <c r="E5" i="14"/>
  <c r="J38" i="14"/>
  <c r="B11" i="14"/>
  <c r="C42" i="14"/>
  <c r="C38" i="14"/>
  <c r="E39" i="14"/>
  <c r="G46" i="14"/>
  <c r="J45" i="14"/>
  <c r="D21" i="14"/>
  <c r="A40" i="14"/>
  <c r="D38" i="14"/>
  <c r="I41" i="14"/>
  <c r="I39" i="14"/>
  <c r="L43" i="14"/>
  <c r="A37" i="14"/>
  <c r="O39" i="14"/>
  <c r="E41" i="14"/>
  <c r="J36" i="14"/>
  <c r="I8" i="45" l="1"/>
  <c r="E9" i="45"/>
  <c r="I8" i="44"/>
  <c r="E9" i="44"/>
  <c r="E10" i="43"/>
  <c r="I9" i="43"/>
  <c r="I8" i="42"/>
  <c r="E9" i="42"/>
  <c r="I8" i="41"/>
  <c r="E9" i="41"/>
  <c r="I9" i="40"/>
  <c r="E10" i="40"/>
  <c r="I9" i="39"/>
  <c r="E10" i="39"/>
  <c r="I9" i="38"/>
  <c r="E10" i="38"/>
  <c r="I8" i="37"/>
  <c r="E9" i="37"/>
  <c r="I8" i="36"/>
  <c r="E9" i="36"/>
  <c r="I8" i="35"/>
  <c r="E9" i="35"/>
  <c r="I8" i="33"/>
  <c r="E9" i="33"/>
  <c r="I9" i="45" l="1"/>
  <c r="E10" i="45"/>
  <c r="I9" i="44"/>
  <c r="E10" i="44"/>
  <c r="E11" i="43"/>
  <c r="I10" i="43"/>
  <c r="I9" i="42"/>
  <c r="E10" i="42"/>
  <c r="I9" i="41"/>
  <c r="E10" i="41"/>
  <c r="I10" i="40"/>
  <c r="E11" i="40"/>
  <c r="I10" i="39"/>
  <c r="E11" i="39"/>
  <c r="I10" i="38"/>
  <c r="E11" i="38"/>
  <c r="I9" i="37"/>
  <c r="E10" i="37"/>
  <c r="I9" i="36"/>
  <c r="E10" i="36"/>
  <c r="I9" i="35"/>
  <c r="E10" i="35"/>
  <c r="I9" i="33"/>
  <c r="E10" i="33"/>
  <c r="I10" i="45" l="1"/>
  <c r="E11" i="45"/>
  <c r="I10" i="44"/>
  <c r="E11" i="44"/>
  <c r="E12" i="43"/>
  <c r="I11" i="43"/>
  <c r="I10" i="42"/>
  <c r="E11" i="42"/>
  <c r="I10" i="41"/>
  <c r="E11" i="41"/>
  <c r="E12" i="40"/>
  <c r="I11" i="40"/>
  <c r="E12" i="39"/>
  <c r="I11" i="39"/>
  <c r="E12" i="38"/>
  <c r="I11" i="38"/>
  <c r="I10" i="37"/>
  <c r="E11" i="37"/>
  <c r="I10" i="36"/>
  <c r="E11" i="36"/>
  <c r="I10" i="35"/>
  <c r="E11" i="35"/>
  <c r="I10" i="33"/>
  <c r="E11" i="33"/>
  <c r="E12" i="45" l="1"/>
  <c r="I11" i="45"/>
  <c r="E12" i="44"/>
  <c r="I11" i="44"/>
  <c r="E13" i="43"/>
  <c r="I12" i="43"/>
  <c r="E12" i="42"/>
  <c r="I11" i="42"/>
  <c r="E12" i="41"/>
  <c r="I11" i="41"/>
  <c r="E13" i="40"/>
  <c r="I12" i="40"/>
  <c r="E13" i="39"/>
  <c r="I12" i="39"/>
  <c r="E13" i="38"/>
  <c r="I12" i="38"/>
  <c r="E12" i="37"/>
  <c r="I11" i="37"/>
  <c r="E12" i="36"/>
  <c r="I11" i="36"/>
  <c r="E12" i="35"/>
  <c r="I11" i="35"/>
  <c r="I11" i="33"/>
  <c r="E12" i="33"/>
  <c r="E13" i="45" l="1"/>
  <c r="I12" i="45"/>
  <c r="E13" i="44"/>
  <c r="I12" i="44"/>
  <c r="I13" i="43"/>
  <c r="E14" i="43"/>
  <c r="E13" i="42"/>
  <c r="I12" i="42"/>
  <c r="E13" i="41"/>
  <c r="I12" i="41"/>
  <c r="I13" i="40"/>
  <c r="E14" i="40"/>
  <c r="I13" i="39"/>
  <c r="E14" i="39"/>
  <c r="I13" i="38"/>
  <c r="E14" i="38"/>
  <c r="E13" i="37"/>
  <c r="I12" i="37"/>
  <c r="E13" i="36"/>
  <c r="I12" i="36"/>
  <c r="E13" i="35"/>
  <c r="I12" i="35"/>
  <c r="I12" i="33"/>
  <c r="E13" i="33"/>
  <c r="I13" i="45" l="1"/>
  <c r="E14" i="45"/>
  <c r="I13" i="44"/>
  <c r="E14" i="44"/>
  <c r="E15" i="43"/>
  <c r="I14" i="43"/>
  <c r="I13" i="42"/>
  <c r="E14" i="42"/>
  <c r="I13" i="41"/>
  <c r="E14" i="41"/>
  <c r="I14" i="40"/>
  <c r="E15" i="40"/>
  <c r="I14" i="39"/>
  <c r="E15" i="39"/>
  <c r="I14" i="38"/>
  <c r="E15" i="38"/>
  <c r="I13" i="37"/>
  <c r="E14" i="37"/>
  <c r="I13" i="36"/>
  <c r="E14" i="36"/>
  <c r="I13" i="35"/>
  <c r="E14" i="35"/>
  <c r="E14" i="33"/>
  <c r="I13" i="33"/>
  <c r="I14" i="45" l="1"/>
  <c r="E15" i="45"/>
  <c r="I14" i="44"/>
  <c r="E15" i="44"/>
  <c r="E16" i="43"/>
  <c r="I15" i="43"/>
  <c r="I14" i="42"/>
  <c r="E15" i="42"/>
  <c r="I14" i="41"/>
  <c r="E15" i="41"/>
  <c r="E16" i="40"/>
  <c r="I15" i="40"/>
  <c r="E16" i="39"/>
  <c r="I15" i="39"/>
  <c r="E16" i="38"/>
  <c r="I15" i="38"/>
  <c r="I14" i="37"/>
  <c r="E15" i="37"/>
  <c r="I14" i="36"/>
  <c r="E15" i="36"/>
  <c r="I14" i="35"/>
  <c r="E15" i="35"/>
  <c r="E15" i="33"/>
  <c r="I14" i="33"/>
  <c r="E16" i="45" l="1"/>
  <c r="I15" i="45"/>
  <c r="E16" i="44"/>
  <c r="I15" i="44"/>
  <c r="E17" i="43"/>
  <c r="I16" i="43"/>
  <c r="E16" i="42"/>
  <c r="I15" i="42"/>
  <c r="E16" i="41"/>
  <c r="I15" i="41"/>
  <c r="E17" i="40"/>
  <c r="I16" i="40"/>
  <c r="E17" i="39"/>
  <c r="I16" i="39"/>
  <c r="E17" i="38"/>
  <c r="I16" i="38"/>
  <c r="E16" i="37"/>
  <c r="I15" i="37"/>
  <c r="E16" i="36"/>
  <c r="I15" i="36"/>
  <c r="E16" i="35"/>
  <c r="I15" i="35"/>
  <c r="I15" i="33"/>
  <c r="E16" i="33"/>
  <c r="E17" i="45" l="1"/>
  <c r="I16" i="45"/>
  <c r="E17" i="44"/>
  <c r="I16" i="44"/>
  <c r="E18" i="43"/>
  <c r="I17" i="43"/>
  <c r="E17" i="42"/>
  <c r="I16" i="42"/>
  <c r="E17" i="41"/>
  <c r="I16" i="41"/>
  <c r="E18" i="40"/>
  <c r="I17" i="40"/>
  <c r="E18" i="39"/>
  <c r="I17" i="39"/>
  <c r="E18" i="38"/>
  <c r="I17" i="38"/>
  <c r="E17" i="37"/>
  <c r="I16" i="37"/>
  <c r="E17" i="36"/>
  <c r="I16" i="36"/>
  <c r="E17" i="35"/>
  <c r="I16" i="35"/>
  <c r="I16" i="33"/>
  <c r="E17" i="33"/>
  <c r="E18" i="45" l="1"/>
  <c r="I17" i="45"/>
  <c r="E18" i="44"/>
  <c r="I17" i="44"/>
  <c r="I18" i="43"/>
  <c r="E19" i="43"/>
  <c r="E18" i="42"/>
  <c r="I17" i="42"/>
  <c r="E18" i="41"/>
  <c r="I17" i="41"/>
  <c r="I18" i="40"/>
  <c r="E19" i="40"/>
  <c r="I18" i="39"/>
  <c r="E19" i="39"/>
  <c r="I18" i="38"/>
  <c r="E19" i="38"/>
  <c r="E18" i="37"/>
  <c r="I17" i="37"/>
  <c r="E18" i="36"/>
  <c r="I17" i="36"/>
  <c r="E18" i="35"/>
  <c r="I17" i="35"/>
  <c r="I17" i="33"/>
  <c r="E18" i="33"/>
  <c r="I18" i="45" l="1"/>
  <c r="E19" i="45"/>
  <c r="I18" i="44"/>
  <c r="E19" i="44"/>
  <c r="I19" i="43"/>
  <c r="E20" i="43"/>
  <c r="I18" i="42"/>
  <c r="E19" i="42"/>
  <c r="I18" i="41"/>
  <c r="E19" i="41"/>
  <c r="I19" i="40"/>
  <c r="E20" i="40"/>
  <c r="I19" i="39"/>
  <c r="E20" i="39"/>
  <c r="I19" i="38"/>
  <c r="E20" i="38"/>
  <c r="I18" i="37"/>
  <c r="E19" i="37"/>
  <c r="I18" i="36"/>
  <c r="E19" i="36"/>
  <c r="I18" i="35"/>
  <c r="E19" i="35"/>
  <c r="I18" i="33"/>
  <c r="E19" i="33"/>
  <c r="I19" i="45" l="1"/>
  <c r="E20" i="45"/>
  <c r="I19" i="44"/>
  <c r="E20" i="44"/>
  <c r="E21" i="43"/>
  <c r="I20" i="43"/>
  <c r="I19" i="42"/>
  <c r="E20" i="42"/>
  <c r="I19" i="41"/>
  <c r="E20" i="41"/>
  <c r="I20" i="40"/>
  <c r="E21" i="40"/>
  <c r="I20" i="39"/>
  <c r="E21" i="39"/>
  <c r="I20" i="38"/>
  <c r="E21" i="38"/>
  <c r="I19" i="37"/>
  <c r="E20" i="37"/>
  <c r="I19" i="36"/>
  <c r="E20" i="36"/>
  <c r="I19" i="35"/>
  <c r="E20" i="35"/>
  <c r="I19" i="33"/>
  <c r="E20" i="33"/>
  <c r="I20" i="45" l="1"/>
  <c r="E21" i="45"/>
  <c r="E21" i="44"/>
  <c r="I20" i="44"/>
  <c r="I21" i="43"/>
  <c r="E22" i="43"/>
  <c r="I20" i="42"/>
  <c r="E21" i="42"/>
  <c r="I20" i="41"/>
  <c r="E21" i="41"/>
  <c r="I21" i="40"/>
  <c r="E22" i="40"/>
  <c r="I21" i="39"/>
  <c r="E22" i="39"/>
  <c r="I21" i="38"/>
  <c r="E22" i="38"/>
  <c r="I20" i="37"/>
  <c r="E21" i="37"/>
  <c r="I20" i="36"/>
  <c r="E21" i="36"/>
  <c r="I20" i="35"/>
  <c r="E21" i="35"/>
  <c r="I20" i="33"/>
  <c r="E21" i="33"/>
  <c r="I21" i="45" l="1"/>
  <c r="E22" i="45"/>
  <c r="I21" i="44"/>
  <c r="E22" i="44"/>
  <c r="I22" i="43"/>
  <c r="E23" i="43"/>
  <c r="I21" i="42"/>
  <c r="E22" i="42"/>
  <c r="I21" i="41"/>
  <c r="E22" i="41"/>
  <c r="I22" i="40"/>
  <c r="E23" i="40"/>
  <c r="I22" i="39"/>
  <c r="E23" i="39"/>
  <c r="E23" i="38"/>
  <c r="I22" i="38"/>
  <c r="I21" i="37"/>
  <c r="E22" i="37"/>
  <c r="I21" i="36"/>
  <c r="E22" i="36"/>
  <c r="I21" i="35"/>
  <c r="E22" i="35"/>
  <c r="I21" i="33"/>
  <c r="E22" i="33"/>
  <c r="I22" i="45" l="1"/>
  <c r="E23" i="45"/>
  <c r="E23" i="44"/>
  <c r="I22" i="44"/>
  <c r="E24" i="43"/>
  <c r="I23" i="43"/>
  <c r="I22" i="42"/>
  <c r="E23" i="42"/>
  <c r="I22" i="41"/>
  <c r="E23" i="41"/>
  <c r="E24" i="40"/>
  <c r="I23" i="40"/>
  <c r="E24" i="39"/>
  <c r="I23" i="39"/>
  <c r="E24" i="38"/>
  <c r="I23" i="38"/>
  <c r="I22" i="37"/>
  <c r="E23" i="37"/>
  <c r="I22" i="36"/>
  <c r="E23" i="36"/>
  <c r="I22" i="35"/>
  <c r="E23" i="35"/>
  <c r="I22" i="33"/>
  <c r="E23" i="33"/>
  <c r="E24" i="45" l="1"/>
  <c r="I23" i="45"/>
  <c r="E24" i="44"/>
  <c r="I23" i="44"/>
  <c r="E25" i="43"/>
  <c r="I24" i="43"/>
  <c r="E24" i="42"/>
  <c r="I23" i="42"/>
  <c r="E24" i="41"/>
  <c r="I23" i="41"/>
  <c r="I24" i="40"/>
  <c r="E25" i="40"/>
  <c r="E25" i="39"/>
  <c r="I24" i="39"/>
  <c r="E25" i="38"/>
  <c r="I24" i="38"/>
  <c r="E24" i="37"/>
  <c r="I23" i="37"/>
  <c r="E24" i="36"/>
  <c r="I23" i="36"/>
  <c r="E24" i="35"/>
  <c r="I23" i="35"/>
  <c r="E24" i="33"/>
  <c r="I23" i="33"/>
  <c r="E25" i="45" l="1"/>
  <c r="I24" i="45"/>
  <c r="E25" i="44"/>
  <c r="I24" i="44"/>
  <c r="I25" i="43"/>
  <c r="E26" i="43"/>
  <c r="E25" i="42"/>
  <c r="I24" i="42"/>
  <c r="E25" i="41"/>
  <c r="I24" i="41"/>
  <c r="I25" i="40"/>
  <c r="E26" i="40"/>
  <c r="I25" i="39"/>
  <c r="E26" i="39"/>
  <c r="I25" i="38"/>
  <c r="E26" i="38"/>
  <c r="E25" i="37"/>
  <c r="I24" i="37"/>
  <c r="E25" i="36"/>
  <c r="I24" i="36"/>
  <c r="E25" i="35"/>
  <c r="I24" i="35"/>
  <c r="E25" i="33"/>
  <c r="I24" i="33"/>
  <c r="I25" i="45" l="1"/>
  <c r="E26" i="45"/>
  <c r="I25" i="44"/>
  <c r="E26" i="44"/>
  <c r="I26" i="43"/>
  <c r="E27" i="43"/>
  <c r="I25" i="42"/>
  <c r="E26" i="42"/>
  <c r="I25" i="41"/>
  <c r="E26" i="41"/>
  <c r="E27" i="40"/>
  <c r="I26" i="40"/>
  <c r="I26" i="39"/>
  <c r="E27" i="39"/>
  <c r="I26" i="38"/>
  <c r="E27" i="38"/>
  <c r="I25" i="37"/>
  <c r="E26" i="37"/>
  <c r="I25" i="36"/>
  <c r="E26" i="36"/>
  <c r="I25" i="35"/>
  <c r="E26" i="35"/>
  <c r="I25" i="33"/>
  <c r="E26" i="33"/>
  <c r="I26" i="45" l="1"/>
  <c r="E27" i="45"/>
  <c r="I26" i="44"/>
  <c r="E27" i="44"/>
  <c r="I27" i="43"/>
  <c r="E28" i="43"/>
  <c r="I26" i="42"/>
  <c r="E27" i="42"/>
  <c r="I26" i="41"/>
  <c r="E27" i="41"/>
  <c r="I27" i="40"/>
  <c r="E28" i="40"/>
  <c r="I27" i="39"/>
  <c r="E28" i="39"/>
  <c r="I27" i="38"/>
  <c r="E28" i="38"/>
  <c r="I26" i="37"/>
  <c r="E27" i="37"/>
  <c r="I26" i="36"/>
  <c r="E27" i="36"/>
  <c r="I26" i="35"/>
  <c r="E27" i="35"/>
  <c r="I26" i="33"/>
  <c r="E27" i="33"/>
  <c r="I27" i="45" l="1"/>
  <c r="E28" i="45"/>
  <c r="I27" i="44"/>
  <c r="E28" i="44"/>
  <c r="E29" i="43"/>
  <c r="I28" i="43"/>
  <c r="I27" i="42"/>
  <c r="E28" i="42"/>
  <c r="I27" i="41"/>
  <c r="E28" i="41"/>
  <c r="E29" i="40"/>
  <c r="I28" i="40"/>
  <c r="E29" i="39"/>
  <c r="I28" i="39"/>
  <c r="E29" i="38"/>
  <c r="I28" i="38"/>
  <c r="I27" i="37"/>
  <c r="E28" i="37"/>
  <c r="I27" i="36"/>
  <c r="E28" i="36"/>
  <c r="I27" i="35"/>
  <c r="E28" i="35"/>
  <c r="I27" i="33"/>
  <c r="E28" i="33"/>
  <c r="E29" i="45" l="1"/>
  <c r="I28" i="45"/>
  <c r="E29" i="44"/>
  <c r="I28" i="44"/>
  <c r="E30" i="43"/>
  <c r="I29" i="43"/>
  <c r="E29" i="42"/>
  <c r="I28" i="42"/>
  <c r="E29" i="41"/>
  <c r="I28" i="41"/>
  <c r="E30" i="40"/>
  <c r="I29" i="40"/>
  <c r="E30" i="39"/>
  <c r="I29" i="39"/>
  <c r="E30" i="38"/>
  <c r="I29" i="38"/>
  <c r="E29" i="37"/>
  <c r="I28" i="37"/>
  <c r="E29" i="36"/>
  <c r="I28" i="36"/>
  <c r="E29" i="35"/>
  <c r="I28" i="35"/>
  <c r="E29" i="33"/>
  <c r="I28" i="33"/>
  <c r="E30" i="45" l="1"/>
  <c r="I29" i="45"/>
  <c r="E30" i="44"/>
  <c r="I29" i="44"/>
  <c r="E31" i="43"/>
  <c r="I30" i="43"/>
  <c r="E30" i="42"/>
  <c r="I29" i="42"/>
  <c r="E30" i="41"/>
  <c r="I29" i="41"/>
  <c r="I30" i="40"/>
  <c r="E31" i="40"/>
  <c r="E31" i="39"/>
  <c r="I30" i="39"/>
  <c r="E31" i="38"/>
  <c r="I30" i="38"/>
  <c r="E30" i="37"/>
  <c r="I29" i="37"/>
  <c r="E30" i="36"/>
  <c r="I29" i="36"/>
  <c r="E30" i="35"/>
  <c r="I29" i="35"/>
  <c r="E30" i="33"/>
  <c r="I29" i="33"/>
  <c r="E31" i="45" l="1"/>
  <c r="I30" i="45"/>
  <c r="E31" i="44"/>
  <c r="I30" i="44"/>
  <c r="I31" i="43"/>
  <c r="E32" i="43"/>
  <c r="E31" i="42"/>
  <c r="I30" i="42"/>
  <c r="E31" i="41"/>
  <c r="I30" i="41"/>
  <c r="I31" i="40"/>
  <c r="E32" i="40"/>
  <c r="I31" i="39"/>
  <c r="E32" i="39"/>
  <c r="I31" i="38"/>
  <c r="E32" i="38"/>
  <c r="E31" i="37"/>
  <c r="I30" i="37"/>
  <c r="E31" i="36"/>
  <c r="I30" i="36"/>
  <c r="E31" i="35"/>
  <c r="I30" i="35"/>
  <c r="E31" i="33"/>
  <c r="I30" i="33"/>
  <c r="I31" i="45" l="1"/>
  <c r="E32" i="45"/>
  <c r="I31" i="44"/>
  <c r="E32" i="44"/>
  <c r="I32" i="43"/>
  <c r="E33" i="43"/>
  <c r="I33" i="43" s="1"/>
  <c r="I31" i="42"/>
  <c r="E32" i="42"/>
  <c r="I31" i="41"/>
  <c r="E32" i="41"/>
  <c r="E33" i="40"/>
  <c r="I33" i="40" s="1"/>
  <c r="I32" i="40"/>
  <c r="I32" i="39"/>
  <c r="E33" i="39"/>
  <c r="I33" i="39" s="1"/>
  <c r="I32" i="38"/>
  <c r="E33" i="38"/>
  <c r="I33" i="38" s="1"/>
  <c r="I31" i="37"/>
  <c r="E32" i="37"/>
  <c r="I31" i="36"/>
  <c r="E32" i="36"/>
  <c r="I31" i="35"/>
  <c r="E32" i="35"/>
  <c r="I31" i="33"/>
  <c r="E32" i="33"/>
  <c r="I32" i="45" l="1"/>
  <c r="E33" i="45"/>
  <c r="I33" i="45" s="1"/>
  <c r="I32" i="44"/>
  <c r="E33" i="44"/>
  <c r="I33" i="44" s="1"/>
  <c r="I32" i="42"/>
  <c r="E33" i="42"/>
  <c r="I33" i="42" s="1"/>
  <c r="I32" i="41"/>
  <c r="E33" i="41"/>
  <c r="I33" i="41" s="1"/>
  <c r="I32" i="37"/>
  <c r="E33" i="37"/>
  <c r="I33" i="37" s="1"/>
  <c r="I32" i="36"/>
  <c r="E33" i="36"/>
  <c r="I33" i="36" s="1"/>
  <c r="I32" i="35"/>
  <c r="E33" i="35"/>
  <c r="I33" i="35" s="1"/>
  <c r="I32" i="33"/>
  <c r="E33" i="33"/>
  <c r="I33" i="33" s="1"/>
  <c r="G5" i="14"/>
  <c r="M15" i="14"/>
  <c r="J30" i="14"/>
  <c r="H7" i="14"/>
  <c r="F24" i="14"/>
  <c r="I27" i="14"/>
  <c r="I9" i="14"/>
  <c r="F27" i="14"/>
  <c r="L11" i="14"/>
  <c r="J25" i="14"/>
  <c r="K26" i="14"/>
  <c r="L7" i="14"/>
  <c r="K21" i="14"/>
  <c r="H24" i="14"/>
  <c r="I16" i="14"/>
  <c r="G15" i="14"/>
  <c r="K13" i="14"/>
  <c r="I5" i="14"/>
  <c r="K5" i="14"/>
  <c r="M26" i="14"/>
  <c r="I25" i="14"/>
  <c r="I15" i="14"/>
  <c r="L30" i="14"/>
  <c r="J9" i="14"/>
  <c r="K15" i="14"/>
  <c r="L12" i="14"/>
  <c r="F26" i="14"/>
  <c r="F9" i="14"/>
  <c r="J27" i="14"/>
  <c r="J8" i="14"/>
  <c r="M13" i="14"/>
  <c r="I14" i="14"/>
  <c r="M24" i="14"/>
  <c r="M5" i="14"/>
  <c r="I26" i="14"/>
  <c r="K25" i="14"/>
  <c r="G12" i="14"/>
  <c r="J5" i="14"/>
  <c r="M12" i="14"/>
  <c r="M16" i="14"/>
  <c r="M21" i="14"/>
  <c r="G14" i="14"/>
  <c r="L16" i="14"/>
  <c r="K9" i="14"/>
  <c r="G25" i="14"/>
  <c r="H12" i="14"/>
  <c r="M8" i="14"/>
  <c r="G16" i="14"/>
  <c r="L9" i="14"/>
  <c r="K14" i="14"/>
  <c r="I30" i="14"/>
  <c r="F7" i="14"/>
  <c r="G27" i="14"/>
  <c r="M25" i="14"/>
  <c r="F21" i="14"/>
  <c r="K16" i="14"/>
  <c r="H14" i="14"/>
  <c r="F25" i="14"/>
  <c r="K8" i="14"/>
  <c r="K24" i="14"/>
  <c r="M11" i="14"/>
  <c r="J26" i="14"/>
  <c r="K30" i="14"/>
  <c r="I8" i="14"/>
  <c r="M9" i="14"/>
  <c r="G13" i="14"/>
  <c r="H27" i="14"/>
  <c r="J13" i="14"/>
  <c r="I13" i="14"/>
  <c r="F14" i="14"/>
  <c r="K12" i="14"/>
  <c r="K7" i="14"/>
  <c r="L8" i="14"/>
  <c r="L15" i="14"/>
  <c r="F11" i="14"/>
  <c r="M27" i="14"/>
  <c r="J21" i="14"/>
  <c r="L14" i="14"/>
  <c r="G7" i="14"/>
  <c r="J24" i="14"/>
  <c r="M7" i="14"/>
  <c r="F8" i="14"/>
  <c r="I11" i="14"/>
  <c r="G24" i="14"/>
  <c r="H26" i="14"/>
  <c r="K27" i="14"/>
  <c r="L21" i="14"/>
  <c r="H15" i="14"/>
  <c r="H8" i="14"/>
  <c r="H9" i="14"/>
  <c r="G26" i="14"/>
  <c r="J11" i="14"/>
  <c r="G8" i="14"/>
  <c r="J15" i="14"/>
  <c r="J12" i="14"/>
  <c r="G9" i="14"/>
  <c r="M30" i="14"/>
  <c r="F15" i="14"/>
  <c r="G11" i="14"/>
  <c r="J7" i="14"/>
  <c r="J14" i="14"/>
  <c r="F5" i="14"/>
  <c r="F13" i="14"/>
  <c r="K11" i="14"/>
  <c r="L25" i="14"/>
  <c r="L27" i="14"/>
  <c r="H25" i="14"/>
  <c r="J16" i="14"/>
  <c r="H11" i="14"/>
  <c r="M14" i="14"/>
  <c r="L24" i="14"/>
  <c r="I12" i="14"/>
  <c r="L26" i="14"/>
  <c r="G21" i="14"/>
  <c r="L13" i="14"/>
  <c r="I7" i="14"/>
  <c r="H13" i="14"/>
  <c r="I24" i="14"/>
  <c r="I21" i="14"/>
  <c r="H21" i="14"/>
  <c r="F16" i="14"/>
  <c r="H5" i="14"/>
  <c r="H16" i="14"/>
  <c r="L5" i="14"/>
  <c r="P46" i="14" l="1"/>
  <c r="Q46" i="14" s="1"/>
  <c r="P45" i="14"/>
  <c r="Q45" i="14" s="1"/>
  <c r="P39" i="14"/>
  <c r="Q39" i="14" s="1"/>
  <c r="P38" i="14"/>
  <c r="Q38" i="14" s="1"/>
  <c r="P37" i="14"/>
  <c r="Q37" i="14" s="1"/>
  <c r="P36" i="14"/>
  <c r="Q36" i="14" s="1"/>
  <c r="P35" i="14"/>
  <c r="Q35" i="14" s="1"/>
  <c r="P44" i="14" l="1"/>
  <c r="Q44" i="14" s="1"/>
  <c r="P43" i="14" l="1"/>
  <c r="Q43" i="14" s="1"/>
  <c r="P40" i="14" l="1"/>
  <c r="P42" i="14"/>
  <c r="Q42" i="14" s="1"/>
  <c r="P41" i="14"/>
  <c r="Q41" i="14" s="1"/>
  <c r="Q40" i="14" l="1"/>
  <c r="H17" i="14"/>
  <c r="M10" i="14"/>
  <c r="M23" i="14"/>
  <c r="L28" i="14"/>
  <c r="J17" i="14"/>
  <c r="J10" i="14"/>
  <c r="M19" i="14"/>
  <c r="L17" i="14"/>
  <c r="H19" i="14"/>
  <c r="J23" i="14"/>
  <c r="H30" i="14"/>
  <c r="M17" i="14"/>
  <c r="G19" i="14"/>
  <c r="G28" i="14"/>
  <c r="H23" i="14"/>
  <c r="F30" i="14"/>
  <c r="G30" i="14"/>
  <c r="L19" i="14"/>
  <c r="J28" i="14"/>
  <c r="H28" i="14"/>
  <c r="L23" i="14"/>
  <c r="G23" i="14"/>
  <c r="G10" i="14"/>
  <c r="L10" i="14"/>
  <c r="M28" i="14"/>
  <c r="G17" i="14"/>
  <c r="J19" i="14"/>
  <c r="H10" i="14"/>
  <c r="C11" i="38" l="1"/>
  <c r="F12" i="14"/>
  <c r="C9" i="35" l="1"/>
  <c r="C9" i="36"/>
  <c r="C9" i="33"/>
  <c r="D10" i="14"/>
  <c r="B10" i="14"/>
  <c r="C10" i="14"/>
  <c r="C16" i="33" l="1"/>
  <c r="C9" i="37"/>
  <c r="C16" i="36"/>
  <c r="C16" i="35"/>
  <c r="C17" i="14"/>
  <c r="B17" i="14"/>
  <c r="F10" i="14"/>
  <c r="E10" i="14"/>
  <c r="C18" i="35" l="1"/>
  <c r="C18" i="36"/>
  <c r="C18" i="33"/>
  <c r="C16" i="38"/>
  <c r="C16" i="37"/>
  <c r="C19" i="14"/>
  <c r="D19" i="14"/>
  <c r="F17" i="14"/>
  <c r="B19" i="14"/>
  <c r="E17" i="14"/>
  <c r="C22" i="33" l="1"/>
  <c r="C18" i="38"/>
  <c r="C18" i="37"/>
  <c r="C22" i="36"/>
  <c r="C22" i="35"/>
  <c r="C23" i="14"/>
  <c r="F19" i="14"/>
  <c r="D23" i="14"/>
  <c r="B23" i="14"/>
  <c r="E19" i="14"/>
  <c r="C27" i="35" l="1"/>
  <c r="C27" i="33"/>
  <c r="C22" i="37"/>
  <c r="C27" i="36"/>
  <c r="C22" i="38"/>
  <c r="C28" i="14"/>
  <c r="F23" i="14"/>
  <c r="B28" i="14"/>
  <c r="E23" i="14"/>
  <c r="D28" i="14"/>
  <c r="C27" i="37" l="1"/>
  <c r="C27" i="38"/>
  <c r="F28" i="14"/>
  <c r="E28" i="14"/>
  <c r="C9" i="41" l="1"/>
  <c r="I10" i="14"/>
  <c r="C16" i="41" l="1"/>
  <c r="C18" i="41" s="1"/>
  <c r="C22" i="41" s="1"/>
  <c r="I17" i="14"/>
  <c r="C27" i="41" l="1"/>
  <c r="I28" i="14"/>
  <c r="I19" i="14"/>
  <c r="I23" i="14"/>
  <c r="C9" i="43" l="1"/>
  <c r="K10" i="14"/>
  <c r="C16" i="43" l="1"/>
  <c r="K17" i="14"/>
  <c r="C18" i="43" l="1"/>
  <c r="K19" i="14"/>
  <c r="C22" i="43" l="1"/>
  <c r="K23" i="14"/>
  <c r="C27" i="43" l="1"/>
  <c r="K28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Админ</author>
  </authors>
  <commentList>
    <comment ref="C40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Админ:</t>
        </r>
        <r>
          <rPr>
            <sz val="9"/>
            <color indexed="81"/>
            <rFont val="Tahoma"/>
            <family val="2"/>
            <charset val="204"/>
          </rPr>
          <t xml:space="preserve">
кредит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Админ</author>
  </authors>
  <commentList>
    <comment ref="C40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Админ:</t>
        </r>
        <r>
          <rPr>
            <sz val="9"/>
            <color indexed="81"/>
            <rFont val="Tahoma"/>
            <family val="2"/>
            <charset val="204"/>
          </rPr>
          <t xml:space="preserve">
кредит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Админ</author>
  </authors>
  <commentList>
    <comment ref="C40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Админ:</t>
        </r>
        <r>
          <rPr>
            <sz val="9"/>
            <color indexed="81"/>
            <rFont val="Tahoma"/>
            <family val="2"/>
            <charset val="204"/>
          </rPr>
          <t xml:space="preserve">
кредит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Админ</author>
  </authors>
  <commentList>
    <comment ref="C40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Админ:</t>
        </r>
        <r>
          <rPr>
            <sz val="9"/>
            <color indexed="81"/>
            <rFont val="Tahoma"/>
            <family val="2"/>
            <charset val="204"/>
          </rPr>
          <t xml:space="preserve">
кредит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Админ</author>
  </authors>
  <commentList>
    <comment ref="C40" authorId="0" shapeId="0" xr:uid="{00000000-0006-0000-0400-000001000000}">
      <text>
        <r>
          <rPr>
            <b/>
            <sz val="9"/>
            <color indexed="81"/>
            <rFont val="Tahoma"/>
            <family val="2"/>
            <charset val="204"/>
          </rPr>
          <t>Админ:</t>
        </r>
        <r>
          <rPr>
            <sz val="9"/>
            <color indexed="81"/>
            <rFont val="Tahoma"/>
            <family val="2"/>
            <charset val="204"/>
          </rPr>
          <t xml:space="preserve">
кредит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Админ</author>
  </authors>
  <commentList>
    <comment ref="C40" authorId="0" shapeId="0" xr:uid="{00000000-0006-0000-0500-000001000000}">
      <text>
        <r>
          <rPr>
            <b/>
            <sz val="9"/>
            <color indexed="81"/>
            <rFont val="Tahoma"/>
            <family val="2"/>
            <charset val="204"/>
          </rPr>
          <t>Админ:</t>
        </r>
        <r>
          <rPr>
            <sz val="9"/>
            <color indexed="81"/>
            <rFont val="Tahoma"/>
            <family val="2"/>
            <charset val="204"/>
          </rPr>
          <t xml:space="preserve">
кредит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Админ</author>
  </authors>
  <commentList>
    <comment ref="C40" authorId="0" shapeId="0" xr:uid="{00000000-0006-0000-0600-000001000000}">
      <text>
        <r>
          <rPr>
            <b/>
            <sz val="9"/>
            <color indexed="81"/>
            <rFont val="Tahoma"/>
            <family val="2"/>
            <charset val="204"/>
          </rPr>
          <t>Админ:</t>
        </r>
        <r>
          <rPr>
            <sz val="9"/>
            <color indexed="81"/>
            <rFont val="Tahoma"/>
            <family val="2"/>
            <charset val="204"/>
          </rPr>
          <t xml:space="preserve">
кредит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Админ</author>
  </authors>
  <commentList>
    <comment ref="C40" authorId="0" shapeId="0" xr:uid="{00000000-0006-0000-0700-000001000000}">
      <text>
        <r>
          <rPr>
            <b/>
            <sz val="9"/>
            <color indexed="81"/>
            <rFont val="Tahoma"/>
            <family val="2"/>
            <charset val="204"/>
          </rPr>
          <t>Админ:</t>
        </r>
        <r>
          <rPr>
            <sz val="9"/>
            <color indexed="81"/>
            <rFont val="Tahoma"/>
            <family val="2"/>
            <charset val="204"/>
          </rPr>
          <t xml:space="preserve">
кредит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Админ</author>
  </authors>
  <commentList>
    <comment ref="C40" authorId="0" shapeId="0" xr:uid="{00000000-0006-0000-0800-000001000000}">
      <text>
        <r>
          <rPr>
            <b/>
            <sz val="9"/>
            <color indexed="81"/>
            <rFont val="Tahoma"/>
            <family val="2"/>
            <charset val="204"/>
          </rPr>
          <t>Админ:</t>
        </r>
        <r>
          <rPr>
            <sz val="9"/>
            <color indexed="81"/>
            <rFont val="Tahoma"/>
            <family val="2"/>
            <charset val="204"/>
          </rPr>
          <t xml:space="preserve">
кредит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Админ</author>
  </authors>
  <commentList>
    <comment ref="C40" authorId="0" shapeId="0" xr:uid="{00000000-0006-0000-0900-000001000000}">
      <text>
        <r>
          <rPr>
            <b/>
            <sz val="9"/>
            <color indexed="81"/>
            <rFont val="Tahoma"/>
            <family val="2"/>
            <charset val="204"/>
          </rPr>
          <t>Админ:</t>
        </r>
        <r>
          <rPr>
            <sz val="9"/>
            <color indexed="81"/>
            <rFont val="Tahoma"/>
            <family val="2"/>
            <charset val="204"/>
          </rPr>
          <t xml:space="preserve">
кредит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Админ</author>
  </authors>
  <commentList>
    <comment ref="C40" authorId="0" shapeId="0" xr:uid="{00000000-0006-0000-0A00-000001000000}">
      <text>
        <r>
          <rPr>
            <b/>
            <sz val="9"/>
            <color indexed="81"/>
            <rFont val="Tahoma"/>
            <family val="2"/>
            <charset val="204"/>
          </rPr>
          <t>Админ:</t>
        </r>
        <r>
          <rPr>
            <sz val="9"/>
            <color indexed="81"/>
            <rFont val="Tahoma"/>
            <family val="2"/>
            <charset val="204"/>
          </rPr>
          <t xml:space="preserve">
кредит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Админ</author>
  </authors>
  <commentList>
    <comment ref="C40" authorId="0" shapeId="0" xr:uid="{00000000-0006-0000-0B00-000001000000}">
      <text>
        <r>
          <rPr>
            <b/>
            <sz val="9"/>
            <color indexed="81"/>
            <rFont val="Tahoma"/>
            <family val="2"/>
            <charset val="204"/>
          </rPr>
          <t>Админ:</t>
        </r>
        <r>
          <rPr>
            <sz val="9"/>
            <color indexed="81"/>
            <rFont val="Tahoma"/>
            <family val="2"/>
            <charset val="204"/>
          </rPr>
          <t xml:space="preserve">
кредит</t>
        </r>
      </text>
    </comment>
  </commentList>
</comments>
</file>

<file path=xl/sharedStrings.xml><?xml version="1.0" encoding="utf-8"?>
<sst xmlns="http://schemas.openxmlformats.org/spreadsheetml/2006/main" count="981" uniqueCount="139">
  <si>
    <t>Статья</t>
  </si>
  <si>
    <t>Отчет о прибылях и убытках</t>
  </si>
  <si>
    <t>Сумма, руб.</t>
  </si>
  <si>
    <t>Выручка</t>
  </si>
  <si>
    <t>Выплаты по кредиту</t>
  </si>
  <si>
    <t>Американо</t>
  </si>
  <si>
    <t>Итого:</t>
  </si>
  <si>
    <t>Аренда</t>
  </si>
  <si>
    <t>Отчет о движении денежных средств</t>
  </si>
  <si>
    <t>Приход, руб.</t>
  </si>
  <si>
    <t>Расход, руб.</t>
  </si>
  <si>
    <t>Примечание</t>
  </si>
  <si>
    <t>Дата</t>
  </si>
  <si>
    <t>Маккиато</t>
  </si>
  <si>
    <t>Каппучино</t>
  </si>
  <si>
    <t>Кофе со сливками</t>
  </si>
  <si>
    <t>Мокка</t>
  </si>
  <si>
    <t>Супер мокка</t>
  </si>
  <si>
    <t>Чайный напиток</t>
  </si>
  <si>
    <t>Горячий шоколад</t>
  </si>
  <si>
    <t>Двойной шоколад</t>
  </si>
  <si>
    <t>Шоколад на молоке</t>
  </si>
  <si>
    <t>Эспрессо шоколадный</t>
  </si>
  <si>
    <t>Латте</t>
  </si>
  <si>
    <t>Каппучино амаретто</t>
  </si>
  <si>
    <t>Всего продано стаканов</t>
  </si>
  <si>
    <t>Кофе по венски</t>
  </si>
  <si>
    <t>Ингредиенты</t>
  </si>
  <si>
    <t>Денежные средства</t>
  </si>
  <si>
    <t>Средняя маржа за месяц:</t>
  </si>
  <si>
    <t>Реальная маржа за месяц:</t>
  </si>
  <si>
    <t>Амортизация</t>
  </si>
  <si>
    <t>ИТОГО прибыль</t>
  </si>
  <si>
    <t>Итого</t>
  </si>
  <si>
    <t>месяц</t>
  </si>
  <si>
    <t>стаканы в день</t>
  </si>
  <si>
    <t>Белый кофе</t>
  </si>
  <si>
    <t>Разница поступлений:</t>
  </si>
  <si>
    <t>Расходы на мелочь</t>
  </si>
  <si>
    <t>Расходы на акции</t>
  </si>
  <si>
    <t>Отдано в долг</t>
  </si>
  <si>
    <t>Ореховый кофе</t>
  </si>
  <si>
    <t>Операционные расходы</t>
  </si>
  <si>
    <t>Комиссии банку</t>
  </si>
  <si>
    <t>Расходы на ТК</t>
  </si>
  <si>
    <t>Дополнительные расходы</t>
  </si>
  <si>
    <t>Налоги (ЕНВД + СОЦ)</t>
  </si>
  <si>
    <t>Итого операционных расходов</t>
  </si>
  <si>
    <t>Обязательный резерв</t>
  </si>
  <si>
    <t>Расп. Прибыли</t>
  </si>
  <si>
    <t>Переплата по кредиту</t>
  </si>
  <si>
    <t>Наша прибыль</t>
  </si>
  <si>
    <t>Другое</t>
  </si>
  <si>
    <t>Сумма к распределению</t>
  </si>
  <si>
    <t>После распределения</t>
  </si>
  <si>
    <t>Мокка ореховый</t>
  </si>
  <si>
    <t>Мокка ванильный</t>
  </si>
  <si>
    <t>Каппучино ванильный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</si>
  <si>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</si>
  <si>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</si>
  <si>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</si>
  <si>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</si>
  <si>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</si>
  <si>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</si>
  <si>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</si>
  <si>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</si>
  <si>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</si>
  <si>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</si>
  <si>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</si>
  <si>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</si>
  <si>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</si>
  <si>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</si>
  <si>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</si>
  <si>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Выручка/сдача 10р</t>
  </si>
  <si>
    <t>покупка воды</t>
  </si>
  <si>
    <t>куплены мусорные пакеты</t>
  </si>
  <si>
    <t>Возврат за сдачу 10р</t>
  </si>
  <si>
    <t>Подарок-премия папе Жени</t>
  </si>
  <si>
    <t>куплен сахар</t>
  </si>
  <si>
    <t>кредит</t>
  </si>
  <si>
    <t>Украшение на автомат + мусорные пакеты</t>
  </si>
  <si>
    <t>аренда</t>
  </si>
  <si>
    <t>Выручка + возврат за сдачу 10р</t>
  </si>
  <si>
    <t>Сняли монеты</t>
  </si>
  <si>
    <t>Возврат за монеты 10р</t>
  </si>
  <si>
    <t>Выручка + Возврат за монеты 10р</t>
  </si>
  <si>
    <t>Доставка ингредиентов РАТЭК</t>
  </si>
  <si>
    <t>Куплена вода</t>
  </si>
  <si>
    <t>Куплены сахар и мешки для мусора</t>
  </si>
  <si>
    <t>Расходы на обслуживание в наше отсутствие</t>
  </si>
  <si>
    <t>сдача 10р</t>
  </si>
  <si>
    <t>Обслуживание Борис</t>
  </si>
  <si>
    <t>Сданы монеты</t>
  </si>
  <si>
    <t>Печать акции EventSource</t>
  </si>
  <si>
    <t>Покупка воды для автомата</t>
  </si>
  <si>
    <t>возврат сдача 10р</t>
  </si>
  <si>
    <t>Мешки для мусора</t>
  </si>
  <si>
    <t>Куплен сахар</t>
  </si>
  <si>
    <t>Хоз. Расходы (мешки, салфетки, скотч, пакеты)</t>
  </si>
  <si>
    <t>расходы на доставку ингредиентов ТК</t>
  </si>
  <si>
    <t>балон со сжатым воздухом</t>
  </si>
  <si>
    <t>Выручка/покупка воды</t>
  </si>
  <si>
    <t>сняли мелочь</t>
  </si>
  <si>
    <t>куплена вода</t>
  </si>
  <si>
    <t>на плату управления - запасная часть</t>
  </si>
  <si>
    <t>Куплен сжатый воздух</t>
  </si>
  <si>
    <t>сняты монеты</t>
  </si>
  <si>
    <t>куплен скотч</t>
  </si>
  <si>
    <t>Выручка/куплена вода</t>
  </si>
  <si>
    <t>Выручка/мешки для мусора</t>
  </si>
  <si>
    <t>сдана мелочь</t>
  </si>
  <si>
    <t>вода Агуша и почтовые конверты</t>
  </si>
  <si>
    <t>снята мелочь</t>
  </si>
  <si>
    <t>Выручка/ вл. салфетки</t>
  </si>
  <si>
    <t>Выручка/салфетки и пакеты</t>
  </si>
  <si>
    <t>ЗП Боре</t>
  </si>
  <si>
    <t>покупка сахара</t>
  </si>
  <si>
    <t>сданы монеты</t>
  </si>
  <si>
    <t>куплена пленка</t>
  </si>
  <si>
    <t>Покупка воды</t>
  </si>
  <si>
    <t>34-</t>
  </si>
  <si>
    <t>оплата домена и хостинга</t>
  </si>
  <si>
    <t>куплены наклейки</t>
  </si>
  <si>
    <t>куплены пакеты</t>
  </si>
  <si>
    <t>подарочный сертификат на массаж</t>
  </si>
  <si>
    <t>пленка и бумажный скотч</t>
  </si>
  <si>
    <t>балон сжатого воздуха</t>
  </si>
  <si>
    <t>январь 20__</t>
  </si>
  <si>
    <t>февраль 20__</t>
  </si>
  <si>
    <t>март 20__</t>
  </si>
  <si>
    <t>апрель 20__</t>
  </si>
  <si>
    <t>май 20__</t>
  </si>
  <si>
    <t>июнь 20__</t>
  </si>
  <si>
    <t>июль 20__</t>
  </si>
  <si>
    <t>август  20__</t>
  </si>
  <si>
    <t>сентябрь 20__</t>
  </si>
  <si>
    <t>октябрь 20__</t>
  </si>
  <si>
    <t>ноябрь 20__</t>
  </si>
  <si>
    <t>декабрь 20__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</si>
</sst>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* #,##0.00_);_(* \(#,##0.00\);_(* &quot;-&quot;??_);_(@_)"/>
    <numFmt numFmtId="165" formatCode="#,##0.00_р_."/>
    <numFmt numFmtId="166" formatCode="[$-419]mmmm\ yyyy;@"/>
    <numFmt numFmtId="167" formatCode="dd/mm\ ddd"/>
    <numFmt numFmtId="168" formatCode="0.0"/>
    <numFmt numFmtId="169" formatCode="#,##0.00\ _р_."/>
  </numFmts>
  <fonts count="1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b/>
      <sz val="9"/>
      <color theme="0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4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55">
    <border>
      <left/>
      <right/>
      <top/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ashDotDot">
        <color auto="1"/>
      </right>
      <top style="thin">
        <color auto="1"/>
      </top>
      <bottom style="dashDotDot">
        <color auto="1"/>
      </bottom>
      <diagonal/>
    </border>
    <border>
      <left style="dashDotDot">
        <color auto="1"/>
      </left>
      <right style="thin">
        <color auto="1"/>
      </right>
      <top style="dashDotDot">
        <color auto="1"/>
      </top>
      <bottom style="dashDotDot">
        <color auto="1"/>
      </bottom>
      <diagonal/>
    </border>
    <border>
      <left style="thin">
        <color auto="1"/>
      </left>
      <right style="thin">
        <color indexed="64"/>
      </right>
      <top/>
      <bottom style="dashDotDot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ashDotDot">
        <color auto="1"/>
      </right>
      <top style="thin">
        <color auto="1"/>
      </top>
      <bottom style="dashDotDot">
        <color auto="1"/>
      </bottom>
      <diagonal/>
    </border>
    <border>
      <left style="medium">
        <color indexed="64"/>
      </left>
      <right style="dashDotDot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dashDotDot">
        <color auto="1"/>
      </right>
      <top style="thin">
        <color auto="1"/>
      </top>
      <bottom style="medium">
        <color indexed="64"/>
      </bottom>
      <diagonal/>
    </border>
    <border>
      <left style="dashDotDot">
        <color auto="1"/>
      </left>
      <right style="thin">
        <color auto="1"/>
      </right>
      <top style="dashDotDot">
        <color auto="1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153">
    <xf numFmtId="0" fontId="0" fillId="0" borderId="0" xfId="0"/>
    <xf numFmtId="4" fontId="0" fillId="4" borderId="12" xfId="0" applyNumberFormat="1" applyFill="1" applyBorder="1"/>
    <xf numFmtId="0" fontId="1" fillId="0" borderId="0" xfId="0" applyFont="1" applyFill="1" applyBorder="1"/>
    <xf numFmtId="0" fontId="1" fillId="6" borderId="1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5" fontId="1" fillId="6" borderId="17" xfId="0" applyNumberFormat="1" applyFont="1" applyFill="1" applyBorder="1"/>
    <xf numFmtId="0" fontId="6" fillId="0" borderId="0" xfId="0" applyFont="1"/>
    <xf numFmtId="0" fontId="7" fillId="0" borderId="0" xfId="0" applyFont="1" applyFill="1" applyBorder="1" applyAlignment="1">
      <alignment horizontal="center" vertical="center" wrapText="1" shrinkToFit="1"/>
    </xf>
    <xf numFmtId="0" fontId="6" fillId="0" borderId="0" xfId="0" applyFont="1" applyFill="1" applyBorder="1"/>
    <xf numFmtId="165" fontId="6" fillId="0" borderId="0" xfId="0" applyNumberFormat="1" applyFont="1"/>
    <xf numFmtId="165" fontId="0" fillId="0" borderId="6" xfId="0" applyNumberFormat="1" applyBorder="1" applyAlignment="1">
      <alignment horizontal="right"/>
    </xf>
    <xf numFmtId="165" fontId="0" fillId="0" borderId="8" xfId="0" applyNumberFormat="1" applyBorder="1" applyAlignment="1">
      <alignment horizontal="right"/>
    </xf>
    <xf numFmtId="165" fontId="0" fillId="0" borderId="8" xfId="0" applyNumberFormat="1" applyFont="1" applyBorder="1" applyAlignment="1">
      <alignment horizontal="right"/>
    </xf>
    <xf numFmtId="0" fontId="1" fillId="5" borderId="11" xfId="0" applyFont="1" applyFill="1" applyBorder="1"/>
    <xf numFmtId="165" fontId="1" fillId="5" borderId="12" xfId="0" applyNumberFormat="1" applyFont="1" applyFill="1" applyBorder="1" applyAlignment="1">
      <alignment horizontal="right"/>
    </xf>
    <xf numFmtId="0" fontId="1" fillId="4" borderId="11" xfId="0" applyFont="1" applyFill="1" applyBorder="1"/>
    <xf numFmtId="165" fontId="1" fillId="4" borderId="12" xfId="0" applyNumberFormat="1" applyFont="1" applyFill="1" applyBorder="1" applyAlignment="1">
      <alignment horizontal="right"/>
    </xf>
    <xf numFmtId="165" fontId="0" fillId="0" borderId="8" xfId="0" applyNumberFormat="1" applyBorder="1"/>
    <xf numFmtId="0" fontId="1" fillId="6" borderId="19" xfId="0" applyFont="1" applyFill="1" applyBorder="1" applyAlignment="1">
      <alignment horizontal="center"/>
    </xf>
    <xf numFmtId="0" fontId="0" fillId="0" borderId="0" xfId="0" applyAlignment="1">
      <alignment horizontal="justify"/>
    </xf>
    <xf numFmtId="165" fontId="0" fillId="0" borderId="0" xfId="0" applyNumberFormat="1" applyAlignment="1">
      <alignment horizontal="justify"/>
    </xf>
    <xf numFmtId="167" fontId="1" fillId="6" borderId="2" xfId="0" applyNumberFormat="1" applyFont="1" applyFill="1" applyBorder="1" applyAlignment="1">
      <alignment horizontal="justify" vertical="center"/>
    </xf>
    <xf numFmtId="0" fontId="4" fillId="6" borderId="3" xfId="0" applyFont="1" applyFill="1" applyBorder="1" applyAlignment="1">
      <alignment horizontal="center" vertical="center" wrapText="1" shrinkToFit="1"/>
    </xf>
    <xf numFmtId="0" fontId="1" fillId="6" borderId="23" xfId="0" applyFont="1" applyFill="1" applyBorder="1" applyAlignment="1">
      <alignment horizontal="center"/>
    </xf>
    <xf numFmtId="14" fontId="6" fillId="0" borderId="0" xfId="0" applyNumberFormat="1" applyFont="1"/>
    <xf numFmtId="0" fontId="4" fillId="7" borderId="29" xfId="0" applyFont="1" applyFill="1" applyBorder="1" applyAlignment="1">
      <alignment horizontal="center" vertical="center" wrapText="1" shrinkToFit="1"/>
    </xf>
    <xf numFmtId="0" fontId="1" fillId="4" borderId="30" xfId="0" applyFont="1" applyFill="1" applyBorder="1" applyAlignment="1">
      <alignment horizontal="center" vertical="center"/>
    </xf>
    <xf numFmtId="0" fontId="1" fillId="4" borderId="16" xfId="0" applyFont="1" applyFill="1" applyBorder="1" applyAlignment="1">
      <alignment horizontal="center" vertical="center"/>
    </xf>
    <xf numFmtId="165" fontId="0" fillId="7" borderId="20" xfId="0" applyNumberFormat="1" applyFill="1" applyBorder="1"/>
    <xf numFmtId="0" fontId="0" fillId="0" borderId="0" xfId="0" quotePrefix="1"/>
    <xf numFmtId="167" fontId="1" fillId="5" borderId="2" xfId="0" applyNumberFormat="1" applyFont="1" applyFill="1" applyBorder="1" applyAlignment="1">
      <alignment horizontal="justify" vertical="center"/>
    </xf>
    <xf numFmtId="167" fontId="1" fillId="5" borderId="7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right" vertical="center"/>
    </xf>
    <xf numFmtId="165" fontId="3" fillId="0" borderId="0" xfId="0" applyNumberFormat="1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25" xfId="0" applyFill="1" applyBorder="1" applyAlignment="1">
      <alignment horizontal="center" vertical="center"/>
    </xf>
    <xf numFmtId="0" fontId="0" fillId="0" borderId="27" xfId="0" applyFill="1" applyBorder="1" applyAlignment="1">
      <alignment horizontal="center" vertical="center"/>
    </xf>
    <xf numFmtId="0" fontId="0" fillId="0" borderId="26" xfId="0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0" fillId="0" borderId="28" xfId="0" applyFill="1" applyBorder="1" applyAlignment="1">
      <alignment horizontal="center" vertical="center"/>
    </xf>
    <xf numFmtId="0" fontId="8" fillId="0" borderId="0" xfId="0" applyFont="1" applyFill="1" applyBorder="1" applyAlignment="1">
      <alignment horizontal="right" vertical="center"/>
    </xf>
    <xf numFmtId="165" fontId="8" fillId="0" borderId="0" xfId="0" applyNumberFormat="1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Fill="1" applyBorder="1" applyAlignment="1">
      <alignment horizontal="right" vertical="center"/>
    </xf>
    <xf numFmtId="165" fontId="0" fillId="0" borderId="0" xfId="0" applyNumberFormat="1" applyFill="1" applyBorder="1" applyAlignment="1">
      <alignment horizontal="center" vertical="center"/>
    </xf>
    <xf numFmtId="165" fontId="1" fillId="0" borderId="0" xfId="0" applyNumberFormat="1" applyFont="1" applyFill="1" applyBorder="1" applyAlignment="1">
      <alignment horizontal="center" vertical="center"/>
    </xf>
    <xf numFmtId="0" fontId="1" fillId="2" borderId="32" xfId="0" applyFont="1" applyFill="1" applyBorder="1" applyAlignment="1">
      <alignment horizontal="center"/>
    </xf>
    <xf numFmtId="0" fontId="1" fillId="2" borderId="33" xfId="0" applyFont="1" applyFill="1" applyBorder="1" applyAlignment="1">
      <alignment horizontal="center"/>
    </xf>
    <xf numFmtId="0" fontId="0" fillId="0" borderId="0" xfId="0" applyBorder="1" applyAlignment="1">
      <alignment vertical="center" textRotation="90"/>
    </xf>
    <xf numFmtId="0" fontId="1" fillId="9" borderId="11" xfId="0" applyFont="1" applyFill="1" applyBorder="1"/>
    <xf numFmtId="165" fontId="1" fillId="5" borderId="10" xfId="0" applyNumberFormat="1" applyFont="1" applyFill="1" applyBorder="1" applyAlignment="1">
      <alignment horizontal="right"/>
    </xf>
    <xf numFmtId="0" fontId="0" fillId="9" borderId="20" xfId="0" applyFill="1" applyBorder="1"/>
    <xf numFmtId="165" fontId="0" fillId="0" borderId="8" xfId="0" applyNumberFormat="1" applyFill="1" applyBorder="1"/>
    <xf numFmtId="165" fontId="0" fillId="0" borderId="10" xfId="0" applyNumberFormat="1" applyFill="1" applyBorder="1"/>
    <xf numFmtId="0" fontId="0" fillId="9" borderId="14" xfId="0" applyFill="1" applyBorder="1"/>
    <xf numFmtId="0" fontId="0" fillId="9" borderId="23" xfId="0" applyFill="1" applyBorder="1"/>
    <xf numFmtId="165" fontId="0" fillId="0" borderId="34" xfId="0" applyNumberFormat="1" applyFill="1" applyBorder="1"/>
    <xf numFmtId="4" fontId="1" fillId="0" borderId="12" xfId="0" applyNumberFormat="1" applyFont="1" applyFill="1" applyBorder="1"/>
    <xf numFmtId="0" fontId="1" fillId="0" borderId="38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4" fontId="1" fillId="0" borderId="12" xfId="1" applyNumberFormat="1" applyFont="1" applyFill="1" applyBorder="1"/>
    <xf numFmtId="0" fontId="1" fillId="0" borderId="0" xfId="0" applyFont="1" applyFill="1" applyBorder="1" applyAlignment="1">
      <alignment horizontal="center"/>
    </xf>
    <xf numFmtId="165" fontId="5" fillId="0" borderId="0" xfId="1" applyNumberFormat="1" applyFont="1" applyFill="1" applyBorder="1" applyAlignment="1">
      <alignment horizontal="right"/>
    </xf>
    <xf numFmtId="17" fontId="0" fillId="0" borderId="0" xfId="0" quotePrefix="1" applyNumberFormat="1" applyBorder="1" applyAlignment="1">
      <alignment horizontal="center"/>
    </xf>
    <xf numFmtId="0" fontId="0" fillId="0" borderId="0" xfId="0" applyFill="1"/>
    <xf numFmtId="168" fontId="0" fillId="0" borderId="0" xfId="0" applyNumberFormat="1" applyFill="1" applyBorder="1" applyAlignment="1">
      <alignment horizontal="center" vertical="center"/>
    </xf>
    <xf numFmtId="169" fontId="0" fillId="8" borderId="20" xfId="0" applyNumberFormat="1" applyFill="1" applyBorder="1"/>
    <xf numFmtId="169" fontId="0" fillId="9" borderId="20" xfId="0" applyNumberFormat="1" applyFill="1" applyBorder="1"/>
    <xf numFmtId="165" fontId="0" fillId="7" borderId="1" xfId="0" applyNumberFormat="1" applyFill="1" applyBorder="1"/>
    <xf numFmtId="0" fontId="0" fillId="7" borderId="8" xfId="0" applyFill="1" applyBorder="1"/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0" fillId="8" borderId="40" xfId="0" applyFill="1" applyBorder="1"/>
    <xf numFmtId="0" fontId="0" fillId="8" borderId="21" xfId="0" applyFill="1" applyBorder="1"/>
    <xf numFmtId="0" fontId="1" fillId="8" borderId="41" xfId="0" applyFont="1" applyFill="1" applyBorder="1"/>
    <xf numFmtId="17" fontId="0" fillId="0" borderId="5" xfId="0" quotePrefix="1" applyNumberFormat="1" applyBorder="1" applyAlignment="1">
      <alignment horizontal="center"/>
    </xf>
    <xf numFmtId="17" fontId="0" fillId="0" borderId="13" xfId="0" quotePrefix="1" applyNumberFormat="1" applyBorder="1" applyAlignment="1">
      <alignment horizontal="center"/>
    </xf>
    <xf numFmtId="17" fontId="0" fillId="0" borderId="6" xfId="0" quotePrefix="1" applyNumberFormat="1" applyBorder="1" applyAlignment="1">
      <alignment horizontal="center"/>
    </xf>
    <xf numFmtId="0" fontId="0" fillId="8" borderId="7" xfId="0" applyFill="1" applyBorder="1"/>
    <xf numFmtId="169" fontId="0" fillId="8" borderId="8" xfId="0" applyNumberFormat="1" applyFill="1" applyBorder="1"/>
    <xf numFmtId="0" fontId="0" fillId="9" borderId="7" xfId="0" applyFill="1" applyBorder="1"/>
    <xf numFmtId="169" fontId="0" fillId="9" borderId="8" xfId="0" applyNumberFormat="1" applyFill="1" applyBorder="1"/>
    <xf numFmtId="0" fontId="0" fillId="8" borderId="5" xfId="0" applyFill="1" applyBorder="1"/>
    <xf numFmtId="169" fontId="0" fillId="8" borderId="13" xfId="0" applyNumberFormat="1" applyFill="1" applyBorder="1"/>
    <xf numFmtId="169" fontId="0" fillId="8" borderId="6" xfId="0" applyNumberFormat="1" applyFill="1" applyBorder="1"/>
    <xf numFmtId="0" fontId="1" fillId="8" borderId="9" xfId="0" applyFont="1" applyFill="1" applyBorder="1"/>
    <xf numFmtId="169" fontId="1" fillId="8" borderId="14" xfId="0" applyNumberFormat="1" applyFont="1" applyFill="1" applyBorder="1"/>
    <xf numFmtId="169" fontId="1" fillId="8" borderId="10" xfId="0" applyNumberFormat="1" applyFont="1" applyFill="1" applyBorder="1"/>
    <xf numFmtId="0" fontId="0" fillId="0" borderId="36" xfId="0" applyFill="1" applyBorder="1"/>
    <xf numFmtId="169" fontId="1" fillId="0" borderId="0" xfId="0" applyNumberFormat="1" applyFont="1" applyFill="1" applyBorder="1" applyAlignment="1">
      <alignment horizontal="right"/>
    </xf>
    <xf numFmtId="169" fontId="1" fillId="0" borderId="49" xfId="0" applyNumberFormat="1" applyFont="1" applyFill="1" applyBorder="1" applyAlignment="1">
      <alignment horizontal="right"/>
    </xf>
    <xf numFmtId="169" fontId="1" fillId="4" borderId="15" xfId="0" applyNumberFormat="1" applyFont="1" applyFill="1" applyBorder="1"/>
    <xf numFmtId="169" fontId="1" fillId="4" borderId="12" xfId="0" applyNumberFormat="1" applyFont="1" applyFill="1" applyBorder="1"/>
    <xf numFmtId="0" fontId="1" fillId="2" borderId="3" xfId="0" applyFont="1" applyFill="1" applyBorder="1" applyAlignment="1">
      <alignment horizontal="center"/>
    </xf>
    <xf numFmtId="0" fontId="0" fillId="0" borderId="36" xfId="0" applyBorder="1"/>
    <xf numFmtId="0" fontId="0" fillId="0" borderId="0" xfId="0" applyBorder="1"/>
    <xf numFmtId="169" fontId="1" fillId="5" borderId="15" xfId="0" applyNumberFormat="1" applyFont="1" applyFill="1" applyBorder="1"/>
    <xf numFmtId="169" fontId="1" fillId="5" borderId="12" xfId="0" applyNumberFormat="1" applyFont="1" applyFill="1" applyBorder="1"/>
    <xf numFmtId="0" fontId="1" fillId="9" borderId="5" xfId="0" applyFont="1" applyFill="1" applyBorder="1"/>
    <xf numFmtId="169" fontId="1" fillId="9" borderId="13" xfId="0" applyNumberFormat="1" applyFont="1" applyFill="1" applyBorder="1"/>
    <xf numFmtId="169" fontId="1" fillId="9" borderId="6" xfId="0" applyNumberFormat="1" applyFont="1" applyFill="1" applyBorder="1"/>
    <xf numFmtId="0" fontId="1" fillId="9" borderId="9" xfId="0" applyFont="1" applyFill="1" applyBorder="1"/>
    <xf numFmtId="169" fontId="1" fillId="9" borderId="14" xfId="0" applyNumberFormat="1" applyFont="1" applyFill="1" applyBorder="1"/>
    <xf numFmtId="169" fontId="1" fillId="9" borderId="10" xfId="0" applyNumberFormat="1" applyFont="1" applyFill="1" applyBorder="1"/>
    <xf numFmtId="0" fontId="1" fillId="6" borderId="5" xfId="0" applyFont="1" applyFill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 wrapText="1"/>
    </xf>
    <xf numFmtId="0" fontId="1" fillId="6" borderId="20" xfId="0" applyFont="1" applyFill="1" applyBorder="1" applyAlignment="1">
      <alignment horizontal="center" vertical="center" wrapText="1"/>
    </xf>
    <xf numFmtId="0" fontId="4" fillId="7" borderId="50" xfId="0" applyFont="1" applyFill="1" applyBorder="1" applyAlignment="1">
      <alignment horizontal="center" vertical="center" wrapText="1" shrinkToFit="1"/>
    </xf>
    <xf numFmtId="0" fontId="0" fillId="2" borderId="8" xfId="0" applyFill="1" applyBorder="1"/>
    <xf numFmtId="0" fontId="4" fillId="7" borderId="51" xfId="0" applyFont="1" applyFill="1" applyBorder="1" applyAlignment="1">
      <alignment horizontal="center" vertical="center" wrapText="1" shrinkToFit="1"/>
    </xf>
    <xf numFmtId="0" fontId="4" fillId="7" borderId="52" xfId="0" applyFont="1" applyFill="1" applyBorder="1" applyAlignment="1">
      <alignment horizontal="center" vertical="center" wrapText="1" shrinkToFit="1"/>
    </xf>
    <xf numFmtId="0" fontId="1" fillId="4" borderId="53" xfId="0" applyFont="1" applyFill="1" applyBorder="1" applyAlignment="1">
      <alignment horizontal="center" vertical="center"/>
    </xf>
    <xf numFmtId="0" fontId="1" fillId="4" borderId="54" xfId="0" applyFont="1" applyFill="1" applyBorder="1" applyAlignment="1">
      <alignment horizontal="center" vertical="center"/>
    </xf>
    <xf numFmtId="0" fontId="0" fillId="2" borderId="10" xfId="0" applyFill="1" applyBorder="1"/>
    <xf numFmtId="4" fontId="0" fillId="7" borderId="8" xfId="0" applyNumberFormat="1" applyFill="1" applyBorder="1"/>
    <xf numFmtId="165" fontId="0" fillId="7" borderId="8" xfId="0" applyNumberFormat="1" applyFill="1" applyBorder="1"/>
    <xf numFmtId="165" fontId="0" fillId="0" borderId="0" xfId="0" applyNumberFormat="1"/>
    <xf numFmtId="0" fontId="6" fillId="0" borderId="0" xfId="0" applyFont="1" applyAlignment="1">
      <alignment horizontal="center" vertical="center"/>
    </xf>
    <xf numFmtId="166" fontId="1" fillId="0" borderId="0" xfId="0" applyNumberFormat="1" applyFont="1" applyBorder="1" applyAlignment="1">
      <alignment horizontal="center"/>
    </xf>
    <xf numFmtId="0" fontId="1" fillId="3" borderId="5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justify" vertical="center"/>
    </xf>
    <xf numFmtId="0" fontId="1" fillId="6" borderId="4" xfId="0" applyFont="1" applyFill="1" applyBorder="1" applyAlignment="1">
      <alignment horizontal="justify" vertical="center"/>
    </xf>
    <xf numFmtId="0" fontId="4" fillId="6" borderId="1" xfId="0" applyFont="1" applyFill="1" applyBorder="1" applyAlignment="1">
      <alignment horizontal="center" vertical="center" wrapText="1"/>
    </xf>
    <xf numFmtId="0" fontId="4" fillId="6" borderId="3" xfId="0" applyFont="1" applyFill="1" applyBorder="1" applyAlignment="1">
      <alignment horizontal="center" vertical="center" wrapText="1"/>
    </xf>
    <xf numFmtId="0" fontId="1" fillId="3" borderId="5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0" fillId="9" borderId="35" xfId="0" applyFill="1" applyBorder="1" applyAlignment="1">
      <alignment horizontal="center" vertical="center" textRotation="90" wrapText="1"/>
    </xf>
    <xf numFmtId="0" fontId="0" fillId="9" borderId="36" xfId="0" applyFill="1" applyBorder="1" applyAlignment="1">
      <alignment horizontal="center" vertical="center" textRotation="90" wrapText="1"/>
    </xf>
    <xf numFmtId="0" fontId="0" fillId="9" borderId="37" xfId="0" applyFill="1" applyBorder="1" applyAlignment="1">
      <alignment horizontal="center" vertical="center" textRotation="90" wrapText="1"/>
    </xf>
    <xf numFmtId="0" fontId="0" fillId="4" borderId="11" xfId="0" applyFill="1" applyBorder="1" applyAlignment="1">
      <alignment horizontal="center"/>
    </xf>
    <xf numFmtId="0" fontId="0" fillId="4" borderId="15" xfId="0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8" borderId="42" xfId="0" applyFill="1" applyBorder="1" applyAlignment="1">
      <alignment horizontal="center" vertical="center" textRotation="90"/>
    </xf>
    <xf numFmtId="0" fontId="0" fillId="8" borderId="43" xfId="0" applyFill="1" applyBorder="1" applyAlignment="1">
      <alignment horizontal="center" vertical="center" textRotation="90"/>
    </xf>
    <xf numFmtId="0" fontId="0" fillId="8" borderId="44" xfId="0" applyFill="1" applyBorder="1" applyAlignment="1">
      <alignment horizontal="center" vertical="center" textRotation="90"/>
    </xf>
    <xf numFmtId="0" fontId="4" fillId="6" borderId="17" xfId="0" applyFont="1" applyFill="1" applyBorder="1" applyAlignment="1">
      <alignment horizontal="center" vertical="center" wrapText="1"/>
    </xf>
    <xf numFmtId="0" fontId="4" fillId="6" borderId="31" xfId="0" applyFont="1" applyFill="1" applyBorder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 vertical="center" wrapText="1"/>
    </xf>
    <xf numFmtId="0" fontId="4" fillId="6" borderId="18" xfId="0" applyFont="1" applyFill="1" applyBorder="1" applyAlignment="1">
      <alignment horizontal="center" vertical="center" wrapText="1"/>
    </xf>
    <xf numFmtId="0" fontId="11" fillId="5" borderId="35" xfId="0" applyFont="1" applyFill="1" applyBorder="1" applyAlignment="1">
      <alignment horizontal="center" vertical="center"/>
    </xf>
    <xf numFmtId="0" fontId="11" fillId="5" borderId="45" xfId="0" applyFont="1" applyFill="1" applyBorder="1" applyAlignment="1">
      <alignment horizontal="center" vertical="center"/>
    </xf>
    <xf numFmtId="0" fontId="11" fillId="5" borderId="46" xfId="0" applyFont="1" applyFill="1" applyBorder="1" applyAlignment="1">
      <alignment horizontal="center" vertical="center"/>
    </xf>
    <xf numFmtId="0" fontId="11" fillId="5" borderId="37" xfId="0" applyFont="1" applyFill="1" applyBorder="1" applyAlignment="1">
      <alignment horizontal="center" vertical="center"/>
    </xf>
    <xf numFmtId="0" fontId="11" fillId="5" borderId="47" xfId="0" applyFont="1" applyFill="1" applyBorder="1" applyAlignment="1">
      <alignment horizontal="center" vertical="center"/>
    </xf>
    <xf numFmtId="0" fontId="11" fillId="5" borderId="48" xfId="0" applyFont="1" applyFill="1" applyBorder="1" applyAlignment="1">
      <alignment horizontal="center" vertical="center"/>
    </xf>
  </cellXfs>
  <cellStyles count="2">
    <cellStyle name="Обычный" xfId="0" builtinId="0"/>
    <cellStyle name="Финансовый" xfId="1" builtinId="3"/>
  </cellStyles>
  <dxfs count="94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'1'!$J$36:$X$36</c:f>
              <c:strCache>
                <c:ptCount val="15"/>
                <c:pt idx="0">
                  <c:v>Эспрессо шоколадный</c:v>
                </c:pt>
                <c:pt idx="1">
                  <c:v>Американо</c:v>
                </c:pt>
                <c:pt idx="2">
                  <c:v>Маккиато</c:v>
                </c:pt>
                <c:pt idx="3">
                  <c:v>Каппучино</c:v>
                </c:pt>
                <c:pt idx="4">
                  <c:v>Кофе со сливками</c:v>
                </c:pt>
                <c:pt idx="5">
                  <c:v>Мокка</c:v>
                </c:pt>
                <c:pt idx="6">
                  <c:v>Супер мокка</c:v>
                </c:pt>
                <c:pt idx="7">
                  <c:v>Латте</c:v>
                </c:pt>
                <c:pt idx="8">
                  <c:v>Каппучино амаретто</c:v>
                </c:pt>
                <c:pt idx="9">
                  <c:v>Кофе по венски</c:v>
                </c:pt>
                <c:pt idx="10">
                  <c:v>Горячий шоколад</c:v>
                </c:pt>
                <c:pt idx="11">
                  <c:v>Двойной шоколад</c:v>
                </c:pt>
                <c:pt idx="12">
                  <c:v>Шоколад на молоке</c:v>
                </c:pt>
                <c:pt idx="13">
                  <c:v>Белый кофе</c:v>
                </c:pt>
                <c:pt idx="14">
                  <c:v>Чайный напиток</c:v>
                </c:pt>
              </c:strCache>
            </c:strRef>
          </c:cat>
          <c:val>
            <c:numRef>
              <c:f>'1'!$J$37:$X$37</c:f>
              <c:numCache>
                <c:formatCode>General</c:formatCode>
                <c:ptCount val="15"/>
                <c:pt idx="0">
                  <c:v>29</c:v>
                </c:pt>
                <c:pt idx="1">
                  <c:v>41</c:v>
                </c:pt>
                <c:pt idx="2">
                  <c:v>27</c:v>
                </c:pt>
                <c:pt idx="3">
                  <c:v>121</c:v>
                </c:pt>
                <c:pt idx="4">
                  <c:v>108</c:v>
                </c:pt>
                <c:pt idx="5">
                  <c:v>90</c:v>
                </c:pt>
                <c:pt idx="6">
                  <c:v>28</c:v>
                </c:pt>
                <c:pt idx="7">
                  <c:v>246</c:v>
                </c:pt>
                <c:pt idx="8">
                  <c:v>37</c:v>
                </c:pt>
                <c:pt idx="9">
                  <c:v>48</c:v>
                </c:pt>
                <c:pt idx="10">
                  <c:v>63</c:v>
                </c:pt>
                <c:pt idx="11">
                  <c:v>85</c:v>
                </c:pt>
                <c:pt idx="12">
                  <c:v>88</c:v>
                </c:pt>
                <c:pt idx="13">
                  <c:v>71</c:v>
                </c:pt>
                <c:pt idx="14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C1-4F3D-84D9-553C5F03E8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46005632"/>
        <c:axId val="46732416"/>
      </c:barChart>
      <c:catAx>
        <c:axId val="46005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46732416"/>
        <c:crosses val="autoZero"/>
        <c:auto val="1"/>
        <c:lblAlgn val="ctr"/>
        <c:lblOffset val="100"/>
        <c:noMultiLvlLbl val="0"/>
      </c:catAx>
      <c:valAx>
        <c:axId val="46732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005632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'2'!$J$36:$X$36</c:f>
              <c:strCache>
                <c:ptCount val="15"/>
                <c:pt idx="0">
                  <c:v>Эспрессо шоколадный</c:v>
                </c:pt>
                <c:pt idx="1">
                  <c:v>Американо</c:v>
                </c:pt>
                <c:pt idx="2">
                  <c:v>Маккиато</c:v>
                </c:pt>
                <c:pt idx="3">
                  <c:v>Каппучино</c:v>
                </c:pt>
                <c:pt idx="4">
                  <c:v>Кофе со сливками</c:v>
                </c:pt>
                <c:pt idx="5">
                  <c:v>Мокка</c:v>
                </c:pt>
                <c:pt idx="6">
                  <c:v>Супер мокка</c:v>
                </c:pt>
                <c:pt idx="7">
                  <c:v>Латте</c:v>
                </c:pt>
                <c:pt idx="8">
                  <c:v>Каппучино амаретто</c:v>
                </c:pt>
                <c:pt idx="9">
                  <c:v>Кофе по венски</c:v>
                </c:pt>
                <c:pt idx="10">
                  <c:v>Горячий шоколад</c:v>
                </c:pt>
                <c:pt idx="11">
                  <c:v>Двойной шоколад</c:v>
                </c:pt>
                <c:pt idx="12">
                  <c:v>Шоколад на молоке</c:v>
                </c:pt>
                <c:pt idx="13">
                  <c:v>Белый кофе</c:v>
                </c:pt>
                <c:pt idx="14">
                  <c:v>Чайный напиток</c:v>
                </c:pt>
              </c:strCache>
            </c:strRef>
          </c:cat>
          <c:val>
            <c:numRef>
              <c:f>'2'!$J$37:$X$37</c:f>
              <c:numCache>
                <c:formatCode>General</c:formatCode>
                <c:ptCount val="15"/>
                <c:pt idx="0">
                  <c:v>37</c:v>
                </c:pt>
                <c:pt idx="1">
                  <c:v>46</c:v>
                </c:pt>
                <c:pt idx="2">
                  <c:v>29</c:v>
                </c:pt>
                <c:pt idx="3">
                  <c:v>110</c:v>
                </c:pt>
                <c:pt idx="4">
                  <c:v>96</c:v>
                </c:pt>
                <c:pt idx="5">
                  <c:v>67</c:v>
                </c:pt>
                <c:pt idx="6">
                  <c:v>71</c:v>
                </c:pt>
                <c:pt idx="7">
                  <c:v>117</c:v>
                </c:pt>
                <c:pt idx="8">
                  <c:v>53</c:v>
                </c:pt>
                <c:pt idx="9">
                  <c:v>57</c:v>
                </c:pt>
                <c:pt idx="10">
                  <c:v>60</c:v>
                </c:pt>
                <c:pt idx="11">
                  <c:v>76</c:v>
                </c:pt>
                <c:pt idx="12">
                  <c:v>69</c:v>
                </c:pt>
                <c:pt idx="13">
                  <c:v>74</c:v>
                </c:pt>
                <c:pt idx="14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5D-4A6D-81A2-8C530F7EE6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46941696"/>
        <c:axId val="46943232"/>
      </c:barChart>
      <c:catAx>
        <c:axId val="4694169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46943232"/>
        <c:crosses val="autoZero"/>
        <c:auto val="1"/>
        <c:lblAlgn val="ctr"/>
        <c:lblOffset val="100"/>
        <c:noMultiLvlLbl val="0"/>
      </c:catAx>
      <c:valAx>
        <c:axId val="46943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941696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'3'!$J$36:$X$36</c:f>
              <c:strCache>
                <c:ptCount val="15"/>
                <c:pt idx="0">
                  <c:v>Эспрессо шоколадный</c:v>
                </c:pt>
                <c:pt idx="1">
                  <c:v>Американо</c:v>
                </c:pt>
                <c:pt idx="2">
                  <c:v>Маккиато</c:v>
                </c:pt>
                <c:pt idx="3">
                  <c:v>Каппучино</c:v>
                </c:pt>
                <c:pt idx="4">
                  <c:v>Кофе со сливками</c:v>
                </c:pt>
                <c:pt idx="5">
                  <c:v>Мокка</c:v>
                </c:pt>
                <c:pt idx="6">
                  <c:v>Супер мокка</c:v>
                </c:pt>
                <c:pt idx="7">
                  <c:v>Латте</c:v>
                </c:pt>
                <c:pt idx="8">
                  <c:v>Каппучино амаретто</c:v>
                </c:pt>
                <c:pt idx="9">
                  <c:v>Кофе по венски</c:v>
                </c:pt>
                <c:pt idx="10">
                  <c:v>Горячий шоколад</c:v>
                </c:pt>
                <c:pt idx="11">
                  <c:v>Двойной шоколад</c:v>
                </c:pt>
                <c:pt idx="12">
                  <c:v>Шоколад на молоке</c:v>
                </c:pt>
                <c:pt idx="13">
                  <c:v>Белый кофе</c:v>
                </c:pt>
                <c:pt idx="14">
                  <c:v>Чайный напиток</c:v>
                </c:pt>
              </c:strCache>
            </c:strRef>
          </c:cat>
          <c:val>
            <c:numRef>
              <c:f>'3'!$J$37:$X$37</c:f>
              <c:numCache>
                <c:formatCode>General</c:formatCode>
                <c:ptCount val="15"/>
                <c:pt idx="0">
                  <c:v>42</c:v>
                </c:pt>
                <c:pt idx="1">
                  <c:v>40</c:v>
                </c:pt>
                <c:pt idx="2">
                  <c:v>34</c:v>
                </c:pt>
                <c:pt idx="3">
                  <c:v>131</c:v>
                </c:pt>
                <c:pt idx="4">
                  <c:v>139</c:v>
                </c:pt>
                <c:pt idx="5">
                  <c:v>77</c:v>
                </c:pt>
                <c:pt idx="6">
                  <c:v>43</c:v>
                </c:pt>
                <c:pt idx="7">
                  <c:v>182</c:v>
                </c:pt>
                <c:pt idx="8">
                  <c:v>46</c:v>
                </c:pt>
                <c:pt idx="9">
                  <c:v>35</c:v>
                </c:pt>
                <c:pt idx="10">
                  <c:v>57</c:v>
                </c:pt>
                <c:pt idx="11">
                  <c:v>77</c:v>
                </c:pt>
                <c:pt idx="12">
                  <c:v>68</c:v>
                </c:pt>
                <c:pt idx="13">
                  <c:v>60</c:v>
                </c:pt>
                <c:pt idx="14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F7-40C6-B154-9647BB798F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47013248"/>
        <c:axId val="47015040"/>
      </c:barChart>
      <c:catAx>
        <c:axId val="470132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47015040"/>
        <c:crosses val="autoZero"/>
        <c:auto val="1"/>
        <c:lblAlgn val="ctr"/>
        <c:lblOffset val="100"/>
        <c:noMultiLvlLbl val="0"/>
      </c:catAx>
      <c:valAx>
        <c:axId val="47015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013248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'4'!$J$36:$X$36</c:f>
              <c:strCache>
                <c:ptCount val="15"/>
                <c:pt idx="0">
                  <c:v>Эспрессо шоколадный</c:v>
                </c:pt>
                <c:pt idx="1">
                  <c:v>Американо</c:v>
                </c:pt>
                <c:pt idx="2">
                  <c:v>Маккиато</c:v>
                </c:pt>
                <c:pt idx="3">
                  <c:v>Каппучино</c:v>
                </c:pt>
                <c:pt idx="4">
                  <c:v>Кофе со сливками</c:v>
                </c:pt>
                <c:pt idx="5">
                  <c:v>Мокка</c:v>
                </c:pt>
                <c:pt idx="6">
                  <c:v>Супер мокка</c:v>
                </c:pt>
                <c:pt idx="7">
                  <c:v>Латте</c:v>
                </c:pt>
                <c:pt idx="8">
                  <c:v>Каппучино амаретто</c:v>
                </c:pt>
                <c:pt idx="9">
                  <c:v>Кофе по венски</c:v>
                </c:pt>
                <c:pt idx="10">
                  <c:v>Горячий шоколад</c:v>
                </c:pt>
                <c:pt idx="11">
                  <c:v>Двойной шоколад</c:v>
                </c:pt>
                <c:pt idx="12">
                  <c:v>Шоколад на молоке</c:v>
                </c:pt>
                <c:pt idx="13">
                  <c:v>Белый кофе</c:v>
                </c:pt>
                <c:pt idx="14">
                  <c:v>Чайный напиток</c:v>
                </c:pt>
              </c:strCache>
            </c:strRef>
          </c:cat>
          <c:val>
            <c:numRef>
              <c:f>'4'!$J$37:$X$37</c:f>
              <c:numCache>
                <c:formatCode>General</c:formatCode>
                <c:ptCount val="15"/>
                <c:pt idx="0">
                  <c:v>54</c:v>
                </c:pt>
                <c:pt idx="1">
                  <c:v>31</c:v>
                </c:pt>
                <c:pt idx="2">
                  <c:v>28</c:v>
                </c:pt>
                <c:pt idx="3">
                  <c:v>183</c:v>
                </c:pt>
                <c:pt idx="4">
                  <c:v>96</c:v>
                </c:pt>
                <c:pt idx="5">
                  <c:v>89</c:v>
                </c:pt>
                <c:pt idx="6">
                  <c:v>40</c:v>
                </c:pt>
                <c:pt idx="7">
                  <c:v>138</c:v>
                </c:pt>
                <c:pt idx="8">
                  <c:v>39</c:v>
                </c:pt>
                <c:pt idx="9">
                  <c:v>49</c:v>
                </c:pt>
                <c:pt idx="10">
                  <c:v>63</c:v>
                </c:pt>
                <c:pt idx="11">
                  <c:v>66</c:v>
                </c:pt>
                <c:pt idx="12">
                  <c:v>77</c:v>
                </c:pt>
                <c:pt idx="13">
                  <c:v>89</c:v>
                </c:pt>
                <c:pt idx="14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3D-4BB4-A79C-31CBF2DA48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47077248"/>
        <c:axId val="47078784"/>
      </c:barChart>
      <c:catAx>
        <c:axId val="470772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47078784"/>
        <c:crosses val="autoZero"/>
        <c:auto val="1"/>
        <c:lblAlgn val="ctr"/>
        <c:lblOffset val="100"/>
        <c:noMultiLvlLbl val="0"/>
      </c:catAx>
      <c:valAx>
        <c:axId val="47078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077248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'5'!$J$36:$X$36</c:f>
              <c:strCache>
                <c:ptCount val="15"/>
                <c:pt idx="0">
                  <c:v>Эспрессо шоколадный</c:v>
                </c:pt>
                <c:pt idx="1">
                  <c:v>Американо</c:v>
                </c:pt>
                <c:pt idx="2">
                  <c:v>Маккиато</c:v>
                </c:pt>
                <c:pt idx="3">
                  <c:v>Каппучино</c:v>
                </c:pt>
                <c:pt idx="4">
                  <c:v>Кофе со сливками</c:v>
                </c:pt>
                <c:pt idx="5">
                  <c:v>Мокка</c:v>
                </c:pt>
                <c:pt idx="6">
                  <c:v>Супер мокка</c:v>
                </c:pt>
                <c:pt idx="7">
                  <c:v>Латте</c:v>
                </c:pt>
                <c:pt idx="8">
                  <c:v>Каппучино амаретто</c:v>
                </c:pt>
                <c:pt idx="9">
                  <c:v>Кофе по венски</c:v>
                </c:pt>
                <c:pt idx="10">
                  <c:v>Горячий шоколад</c:v>
                </c:pt>
                <c:pt idx="11">
                  <c:v>Двойной шоколад</c:v>
                </c:pt>
                <c:pt idx="12">
                  <c:v>Шоколад на молоке</c:v>
                </c:pt>
                <c:pt idx="13">
                  <c:v>Белый кофе</c:v>
                </c:pt>
                <c:pt idx="14">
                  <c:v>Чайный напиток</c:v>
                </c:pt>
              </c:strCache>
            </c:strRef>
          </c:cat>
          <c:val>
            <c:numRef>
              <c:f>'5'!$J$37:$X$37</c:f>
              <c:numCache>
                <c:formatCode>General</c:formatCode>
                <c:ptCount val="15"/>
                <c:pt idx="0">
                  <c:v>36</c:v>
                </c:pt>
                <c:pt idx="1">
                  <c:v>37</c:v>
                </c:pt>
                <c:pt idx="2">
                  <c:v>25</c:v>
                </c:pt>
                <c:pt idx="3">
                  <c:v>228</c:v>
                </c:pt>
                <c:pt idx="4">
                  <c:v>116</c:v>
                </c:pt>
                <c:pt idx="5">
                  <c:v>88</c:v>
                </c:pt>
                <c:pt idx="6">
                  <c:v>38</c:v>
                </c:pt>
                <c:pt idx="7">
                  <c:v>171</c:v>
                </c:pt>
                <c:pt idx="8">
                  <c:v>85</c:v>
                </c:pt>
                <c:pt idx="9">
                  <c:v>59</c:v>
                </c:pt>
                <c:pt idx="10">
                  <c:v>58</c:v>
                </c:pt>
                <c:pt idx="11">
                  <c:v>78</c:v>
                </c:pt>
                <c:pt idx="12">
                  <c:v>64</c:v>
                </c:pt>
                <c:pt idx="13">
                  <c:v>43</c:v>
                </c:pt>
                <c:pt idx="14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4C-4095-8F3A-EEDD17FE68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47140224"/>
        <c:axId val="47150208"/>
      </c:barChart>
      <c:catAx>
        <c:axId val="4714022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47150208"/>
        <c:crosses val="autoZero"/>
        <c:auto val="1"/>
        <c:lblAlgn val="ctr"/>
        <c:lblOffset val="100"/>
        <c:noMultiLvlLbl val="0"/>
      </c:catAx>
      <c:valAx>
        <c:axId val="471502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140224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'6'!$J$36:$X$36</c:f>
              <c:strCache>
                <c:ptCount val="15"/>
                <c:pt idx="0">
                  <c:v>Эспрессо шоколадный</c:v>
                </c:pt>
                <c:pt idx="1">
                  <c:v>Американо</c:v>
                </c:pt>
                <c:pt idx="2">
                  <c:v>Маккиато</c:v>
                </c:pt>
                <c:pt idx="3">
                  <c:v>Каппучино</c:v>
                </c:pt>
                <c:pt idx="4">
                  <c:v>Кофе со сливками</c:v>
                </c:pt>
                <c:pt idx="5">
                  <c:v>Мокка</c:v>
                </c:pt>
                <c:pt idx="6">
                  <c:v>Супер мокка</c:v>
                </c:pt>
                <c:pt idx="7">
                  <c:v>Латте</c:v>
                </c:pt>
                <c:pt idx="8">
                  <c:v>Каппучино амаретто</c:v>
                </c:pt>
                <c:pt idx="9">
                  <c:v>Кофе по венски</c:v>
                </c:pt>
                <c:pt idx="10">
                  <c:v>Горячий шоколад</c:v>
                </c:pt>
                <c:pt idx="11">
                  <c:v>Двойной шоколад</c:v>
                </c:pt>
                <c:pt idx="12">
                  <c:v>Шоколад на молоке</c:v>
                </c:pt>
                <c:pt idx="13">
                  <c:v>Белый кофе</c:v>
                </c:pt>
                <c:pt idx="14">
                  <c:v>Чайный напиток</c:v>
                </c:pt>
              </c:strCache>
            </c:strRef>
          </c:cat>
          <c:val>
            <c:numRef>
              <c:f>'6'!$J$37:$X$37</c:f>
              <c:numCache>
                <c:formatCode>General</c:formatCode>
                <c:ptCount val="15"/>
                <c:pt idx="0">
                  <c:v>49</c:v>
                </c:pt>
                <c:pt idx="1">
                  <c:v>30</c:v>
                </c:pt>
                <c:pt idx="2">
                  <c:v>18</c:v>
                </c:pt>
                <c:pt idx="3">
                  <c:v>233</c:v>
                </c:pt>
                <c:pt idx="4">
                  <c:v>132</c:v>
                </c:pt>
                <c:pt idx="5">
                  <c:v>37</c:v>
                </c:pt>
                <c:pt idx="6">
                  <c:v>28</c:v>
                </c:pt>
                <c:pt idx="7">
                  <c:v>104</c:v>
                </c:pt>
                <c:pt idx="8">
                  <c:v>56</c:v>
                </c:pt>
                <c:pt idx="9">
                  <c:v>53</c:v>
                </c:pt>
                <c:pt idx="10">
                  <c:v>39</c:v>
                </c:pt>
                <c:pt idx="11">
                  <c:v>43</c:v>
                </c:pt>
                <c:pt idx="12">
                  <c:v>55</c:v>
                </c:pt>
                <c:pt idx="13">
                  <c:v>61</c:v>
                </c:pt>
                <c:pt idx="14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14-42E3-9960-BC6D71D9D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47232512"/>
        <c:axId val="47234048"/>
      </c:barChart>
      <c:catAx>
        <c:axId val="4723251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47234048"/>
        <c:crosses val="autoZero"/>
        <c:auto val="1"/>
        <c:lblAlgn val="ctr"/>
        <c:lblOffset val="100"/>
        <c:noMultiLvlLbl val="0"/>
      </c:catAx>
      <c:valAx>
        <c:axId val="47234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232512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'7'!$J$36:$X$36</c:f>
              <c:strCache>
                <c:ptCount val="15"/>
                <c:pt idx="0">
                  <c:v>Эспрессо шоколадный</c:v>
                </c:pt>
                <c:pt idx="1">
                  <c:v>Американо</c:v>
                </c:pt>
                <c:pt idx="2">
                  <c:v>Маккиато</c:v>
                </c:pt>
                <c:pt idx="3">
                  <c:v>Каппучино</c:v>
                </c:pt>
                <c:pt idx="4">
                  <c:v>Кофе со сливками</c:v>
                </c:pt>
                <c:pt idx="5">
                  <c:v>Мокка</c:v>
                </c:pt>
                <c:pt idx="6">
                  <c:v>Супер мокка</c:v>
                </c:pt>
                <c:pt idx="7">
                  <c:v>Латте</c:v>
                </c:pt>
                <c:pt idx="8">
                  <c:v>Каппучино амаретто</c:v>
                </c:pt>
                <c:pt idx="9">
                  <c:v>Кофе по венски</c:v>
                </c:pt>
                <c:pt idx="10">
                  <c:v>Горячий шоколад</c:v>
                </c:pt>
                <c:pt idx="11">
                  <c:v>Двойной шоколад</c:v>
                </c:pt>
                <c:pt idx="12">
                  <c:v>Шоколад на молоке</c:v>
                </c:pt>
                <c:pt idx="13">
                  <c:v>Белый кофе</c:v>
                </c:pt>
                <c:pt idx="14">
                  <c:v>Чайный напиток</c:v>
                </c:pt>
              </c:strCache>
            </c:strRef>
          </c:cat>
          <c:val>
            <c:numRef>
              <c:f>'7'!$J$37:$X$37</c:f>
              <c:numCache>
                <c:formatCode>General</c:formatCode>
                <c:ptCount val="15"/>
                <c:pt idx="0">
                  <c:v>78</c:v>
                </c:pt>
                <c:pt idx="1">
                  <c:v>43</c:v>
                </c:pt>
                <c:pt idx="2">
                  <c:v>26</c:v>
                </c:pt>
                <c:pt idx="3">
                  <c:v>217</c:v>
                </c:pt>
                <c:pt idx="4">
                  <c:v>99</c:v>
                </c:pt>
                <c:pt idx="5">
                  <c:v>47</c:v>
                </c:pt>
                <c:pt idx="6">
                  <c:v>29</c:v>
                </c:pt>
                <c:pt idx="7">
                  <c:v>134</c:v>
                </c:pt>
                <c:pt idx="8">
                  <c:v>27</c:v>
                </c:pt>
                <c:pt idx="9">
                  <c:v>51</c:v>
                </c:pt>
                <c:pt idx="10">
                  <c:v>55</c:v>
                </c:pt>
                <c:pt idx="11">
                  <c:v>56</c:v>
                </c:pt>
                <c:pt idx="12">
                  <c:v>48</c:v>
                </c:pt>
                <c:pt idx="13">
                  <c:v>52</c:v>
                </c:pt>
                <c:pt idx="14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28-4B82-B3CB-164D27A99C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47299968"/>
        <c:axId val="47322240"/>
      </c:barChart>
      <c:catAx>
        <c:axId val="4729996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47322240"/>
        <c:crosses val="autoZero"/>
        <c:auto val="1"/>
        <c:lblAlgn val="ctr"/>
        <c:lblOffset val="100"/>
        <c:noMultiLvlLbl val="0"/>
      </c:catAx>
      <c:valAx>
        <c:axId val="47322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299968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'8'!$J$36:$X$36</c:f>
              <c:strCache>
                <c:ptCount val="15"/>
                <c:pt idx="0">
                  <c:v>Эспрессо шоколадный</c:v>
                </c:pt>
                <c:pt idx="1">
                  <c:v>Американо</c:v>
                </c:pt>
                <c:pt idx="2">
                  <c:v>Маккиато</c:v>
                </c:pt>
                <c:pt idx="3">
                  <c:v>Каппучино</c:v>
                </c:pt>
                <c:pt idx="4">
                  <c:v>Кофе со сливками</c:v>
                </c:pt>
                <c:pt idx="5">
                  <c:v>Мокка</c:v>
                </c:pt>
                <c:pt idx="6">
                  <c:v>Супер мокка</c:v>
                </c:pt>
                <c:pt idx="7">
                  <c:v>Латте</c:v>
                </c:pt>
                <c:pt idx="8">
                  <c:v>Каппучино амаретто</c:v>
                </c:pt>
                <c:pt idx="9">
                  <c:v>Кофе по венски</c:v>
                </c:pt>
                <c:pt idx="10">
                  <c:v>Горячий шоколад</c:v>
                </c:pt>
                <c:pt idx="11">
                  <c:v>Двойной шоколад</c:v>
                </c:pt>
                <c:pt idx="12">
                  <c:v>Шоколад на молоке</c:v>
                </c:pt>
                <c:pt idx="13">
                  <c:v>Белый кофе</c:v>
                </c:pt>
                <c:pt idx="14">
                  <c:v>Чайный напиток</c:v>
                </c:pt>
              </c:strCache>
            </c:strRef>
          </c:cat>
          <c:val>
            <c:numRef>
              <c:f>'8'!$J$37:$X$37</c:f>
              <c:numCache>
                <c:formatCode>General</c:formatCode>
                <c:ptCount val="15"/>
                <c:pt idx="0">
                  <c:v>70</c:v>
                </c:pt>
                <c:pt idx="1">
                  <c:v>45</c:v>
                </c:pt>
                <c:pt idx="2">
                  <c:v>17</c:v>
                </c:pt>
                <c:pt idx="3">
                  <c:v>262</c:v>
                </c:pt>
                <c:pt idx="4">
                  <c:v>132</c:v>
                </c:pt>
                <c:pt idx="5">
                  <c:v>32</c:v>
                </c:pt>
                <c:pt idx="6">
                  <c:v>32</c:v>
                </c:pt>
                <c:pt idx="7">
                  <c:v>138</c:v>
                </c:pt>
                <c:pt idx="8">
                  <c:v>26</c:v>
                </c:pt>
                <c:pt idx="9">
                  <c:v>28</c:v>
                </c:pt>
                <c:pt idx="10">
                  <c:v>62</c:v>
                </c:pt>
                <c:pt idx="11">
                  <c:v>65</c:v>
                </c:pt>
                <c:pt idx="12">
                  <c:v>69</c:v>
                </c:pt>
                <c:pt idx="13">
                  <c:v>88</c:v>
                </c:pt>
                <c:pt idx="14">
                  <c:v>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25-4176-8C4D-0061C4ED1E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47539328"/>
        <c:axId val="47540864"/>
      </c:barChart>
      <c:catAx>
        <c:axId val="4753932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47540864"/>
        <c:crosses val="autoZero"/>
        <c:auto val="1"/>
        <c:lblAlgn val="ctr"/>
        <c:lblOffset val="100"/>
        <c:noMultiLvlLbl val="0"/>
      </c:catAx>
      <c:valAx>
        <c:axId val="47540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539328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'9'!$J$36:$X$36</c:f>
              <c:strCache>
                <c:ptCount val="15"/>
                <c:pt idx="0">
                  <c:v>Эспрессо шоколадный</c:v>
                </c:pt>
                <c:pt idx="1">
                  <c:v>Американо</c:v>
                </c:pt>
                <c:pt idx="2">
                  <c:v>Маккиато</c:v>
                </c:pt>
                <c:pt idx="3">
                  <c:v>Каппучино</c:v>
                </c:pt>
                <c:pt idx="4">
                  <c:v>Кофе со сливками</c:v>
                </c:pt>
                <c:pt idx="5">
                  <c:v>Мокка</c:v>
                </c:pt>
                <c:pt idx="6">
                  <c:v>Супер мокка</c:v>
                </c:pt>
                <c:pt idx="7">
                  <c:v>Латте</c:v>
                </c:pt>
                <c:pt idx="8">
                  <c:v>Каппучино амаретто</c:v>
                </c:pt>
                <c:pt idx="9">
                  <c:v>Кофе по венски</c:v>
                </c:pt>
                <c:pt idx="10">
                  <c:v>Горячий шоколад</c:v>
                </c:pt>
                <c:pt idx="11">
                  <c:v>Двойной шоколад</c:v>
                </c:pt>
                <c:pt idx="12">
                  <c:v>Шоколад на молоке</c:v>
                </c:pt>
                <c:pt idx="13">
                  <c:v>Белый кофе</c:v>
                </c:pt>
                <c:pt idx="14">
                  <c:v>Чайный напиток</c:v>
                </c:pt>
              </c:strCache>
            </c:strRef>
          </c:cat>
          <c:val>
            <c:numRef>
              <c:f>'9'!$J$37:$X$37</c:f>
              <c:numCache>
                <c:formatCode>General</c:formatCode>
                <c:ptCount val="15"/>
                <c:pt idx="0">
                  <c:v>52</c:v>
                </c:pt>
                <c:pt idx="1">
                  <c:v>79</c:v>
                </c:pt>
                <c:pt idx="2">
                  <c:v>13</c:v>
                </c:pt>
                <c:pt idx="3">
                  <c:v>286</c:v>
                </c:pt>
                <c:pt idx="4">
                  <c:v>153</c:v>
                </c:pt>
                <c:pt idx="5">
                  <c:v>74</c:v>
                </c:pt>
                <c:pt idx="6">
                  <c:v>47</c:v>
                </c:pt>
                <c:pt idx="7">
                  <c:v>210</c:v>
                </c:pt>
                <c:pt idx="8">
                  <c:v>54</c:v>
                </c:pt>
                <c:pt idx="9">
                  <c:v>85</c:v>
                </c:pt>
                <c:pt idx="10">
                  <c:v>95</c:v>
                </c:pt>
                <c:pt idx="11">
                  <c:v>122</c:v>
                </c:pt>
                <c:pt idx="12">
                  <c:v>98</c:v>
                </c:pt>
                <c:pt idx="13">
                  <c:v>155</c:v>
                </c:pt>
                <c:pt idx="14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79-4BBF-B0D1-E01E426596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48892928"/>
        <c:axId val="48911104"/>
      </c:barChart>
      <c:catAx>
        <c:axId val="4889292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48911104"/>
        <c:crosses val="autoZero"/>
        <c:auto val="1"/>
        <c:lblAlgn val="ctr"/>
        <c:lblOffset val="100"/>
        <c:noMultiLvlLbl val="0"/>
      </c:catAx>
      <c:valAx>
        <c:axId val="48911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8892928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'10'!$J$36:$X$36</c:f>
              <c:strCache>
                <c:ptCount val="15"/>
                <c:pt idx="0">
                  <c:v>Эспрессо шоколадный</c:v>
                </c:pt>
                <c:pt idx="1">
                  <c:v>Американо</c:v>
                </c:pt>
                <c:pt idx="2">
                  <c:v>Маккиато</c:v>
                </c:pt>
                <c:pt idx="3">
                  <c:v>Каппучино</c:v>
                </c:pt>
                <c:pt idx="4">
                  <c:v>Кофе со сливками</c:v>
                </c:pt>
                <c:pt idx="5">
                  <c:v>Мокка</c:v>
                </c:pt>
                <c:pt idx="6">
                  <c:v>Супер мокка</c:v>
                </c:pt>
                <c:pt idx="7">
                  <c:v>Латте</c:v>
                </c:pt>
                <c:pt idx="8">
                  <c:v>Каппучино амаретто</c:v>
                </c:pt>
                <c:pt idx="9">
                  <c:v>Кофе по венски</c:v>
                </c:pt>
                <c:pt idx="10">
                  <c:v>Горячий шоколад</c:v>
                </c:pt>
                <c:pt idx="11">
                  <c:v>Двойной шоколад</c:v>
                </c:pt>
                <c:pt idx="12">
                  <c:v>Шоколад на молоке</c:v>
                </c:pt>
                <c:pt idx="13">
                  <c:v>Белый кофе</c:v>
                </c:pt>
                <c:pt idx="14">
                  <c:v>Чайный напиток</c:v>
                </c:pt>
              </c:strCache>
            </c:strRef>
          </c:cat>
          <c:val>
            <c:numRef>
              <c:f>'10'!$J$37:$X$37</c:f>
              <c:numCache>
                <c:formatCode>General</c:formatCode>
                <c:ptCount val="15"/>
                <c:pt idx="0">
                  <c:v>65</c:v>
                </c:pt>
                <c:pt idx="1">
                  <c:v>81</c:v>
                </c:pt>
                <c:pt idx="2">
                  <c:v>17</c:v>
                </c:pt>
                <c:pt idx="3">
                  <c:v>271</c:v>
                </c:pt>
                <c:pt idx="4">
                  <c:v>173</c:v>
                </c:pt>
                <c:pt idx="5">
                  <c:v>58</c:v>
                </c:pt>
                <c:pt idx="6">
                  <c:v>31</c:v>
                </c:pt>
                <c:pt idx="7">
                  <c:v>126</c:v>
                </c:pt>
                <c:pt idx="8">
                  <c:v>31</c:v>
                </c:pt>
                <c:pt idx="9">
                  <c:v>85</c:v>
                </c:pt>
                <c:pt idx="10">
                  <c:v>78</c:v>
                </c:pt>
                <c:pt idx="11">
                  <c:v>55</c:v>
                </c:pt>
                <c:pt idx="12">
                  <c:v>103</c:v>
                </c:pt>
                <c:pt idx="13">
                  <c:v>47</c:v>
                </c:pt>
                <c:pt idx="14">
                  <c:v>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91-4A1B-94A9-71416DB1A9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49407104"/>
        <c:axId val="49408640"/>
      </c:barChart>
      <c:catAx>
        <c:axId val="4940710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49408640"/>
        <c:crosses val="autoZero"/>
        <c:auto val="1"/>
        <c:lblAlgn val="ctr"/>
        <c:lblOffset val="100"/>
        <c:noMultiLvlLbl val="0"/>
      </c:catAx>
      <c:valAx>
        <c:axId val="4940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9407104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'11'!$J$36:$X$36</c:f>
              <c:strCache>
                <c:ptCount val="15"/>
                <c:pt idx="0">
                  <c:v>Эспрессо шоколадный</c:v>
                </c:pt>
                <c:pt idx="1">
                  <c:v>Американо</c:v>
                </c:pt>
                <c:pt idx="2">
                  <c:v>Маккиато</c:v>
                </c:pt>
                <c:pt idx="3">
                  <c:v>Каппучино</c:v>
                </c:pt>
                <c:pt idx="4">
                  <c:v>Кофе со сливками</c:v>
                </c:pt>
                <c:pt idx="5">
                  <c:v>Мокка</c:v>
                </c:pt>
                <c:pt idx="6">
                  <c:v>Супер мокка</c:v>
                </c:pt>
                <c:pt idx="7">
                  <c:v>Латте</c:v>
                </c:pt>
                <c:pt idx="8">
                  <c:v>Каппучино амаретто</c:v>
                </c:pt>
                <c:pt idx="9">
                  <c:v>Кофе по венски</c:v>
                </c:pt>
                <c:pt idx="10">
                  <c:v>Горячий шоколад</c:v>
                </c:pt>
                <c:pt idx="11">
                  <c:v>Двойной шоколад</c:v>
                </c:pt>
                <c:pt idx="12">
                  <c:v>Шоколад на молоке</c:v>
                </c:pt>
                <c:pt idx="13">
                  <c:v>Белый кофе</c:v>
                </c:pt>
                <c:pt idx="14">
                  <c:v>Чайный напиток</c:v>
                </c:pt>
              </c:strCache>
            </c:strRef>
          </c:cat>
          <c:val>
            <c:numRef>
              <c:f>'11'!$J$37:$X$37</c:f>
              <c:numCache>
                <c:formatCode>General</c:formatCode>
                <c:ptCount val="15"/>
                <c:pt idx="0">
                  <c:v>47</c:v>
                </c:pt>
                <c:pt idx="1">
                  <c:v>65</c:v>
                </c:pt>
                <c:pt idx="2">
                  <c:v>15</c:v>
                </c:pt>
                <c:pt idx="3">
                  <c:v>282</c:v>
                </c:pt>
                <c:pt idx="4">
                  <c:v>102</c:v>
                </c:pt>
                <c:pt idx="5">
                  <c:v>54</c:v>
                </c:pt>
                <c:pt idx="6">
                  <c:v>41</c:v>
                </c:pt>
                <c:pt idx="7">
                  <c:v>59</c:v>
                </c:pt>
                <c:pt idx="8">
                  <c:v>89</c:v>
                </c:pt>
                <c:pt idx="9">
                  <c:v>32</c:v>
                </c:pt>
                <c:pt idx="10">
                  <c:v>64</c:v>
                </c:pt>
                <c:pt idx="11">
                  <c:v>54</c:v>
                </c:pt>
                <c:pt idx="12">
                  <c:v>53</c:v>
                </c:pt>
                <c:pt idx="13">
                  <c:v>98</c:v>
                </c:pt>
                <c:pt idx="14">
                  <c:v>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1F-446C-A83B-5A2CBEE687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50109440"/>
        <c:axId val="50111232"/>
      </c:barChart>
      <c:catAx>
        <c:axId val="501094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0111232"/>
        <c:crosses val="autoZero"/>
        <c:auto val="1"/>
        <c:lblAlgn val="ctr"/>
        <c:lblOffset val="100"/>
        <c:noMultiLvlLbl val="0"/>
      </c:catAx>
      <c:valAx>
        <c:axId val="50111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0109440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'12'!$J$36:$X$36</c:f>
              <c:strCache>
                <c:ptCount val="15"/>
                <c:pt idx="0">
                  <c:v>Эспрессо шоколадный</c:v>
                </c:pt>
                <c:pt idx="1">
                  <c:v>Американо</c:v>
                </c:pt>
                <c:pt idx="2">
                  <c:v>Маккиато</c:v>
                </c:pt>
                <c:pt idx="3">
                  <c:v>Каппучино</c:v>
                </c:pt>
                <c:pt idx="4">
                  <c:v>Кофе со сливками</c:v>
                </c:pt>
                <c:pt idx="5">
                  <c:v>Мокка</c:v>
                </c:pt>
                <c:pt idx="6">
                  <c:v>Супер мокка</c:v>
                </c:pt>
                <c:pt idx="7">
                  <c:v>Латте</c:v>
                </c:pt>
                <c:pt idx="8">
                  <c:v>Каппучино амаретто</c:v>
                </c:pt>
                <c:pt idx="9">
                  <c:v>Кофе по венски</c:v>
                </c:pt>
                <c:pt idx="10">
                  <c:v>Горячий шоколад</c:v>
                </c:pt>
                <c:pt idx="11">
                  <c:v>Двойной шоколад</c:v>
                </c:pt>
                <c:pt idx="12">
                  <c:v>Шоколад на молоке</c:v>
                </c:pt>
                <c:pt idx="13">
                  <c:v>Белый кофе</c:v>
                </c:pt>
                <c:pt idx="14">
                  <c:v>Чайный напиток</c:v>
                </c:pt>
              </c:strCache>
            </c:strRef>
          </c:cat>
          <c:val>
            <c:numRef>
              <c:f>'12'!$J$37:$X$37</c:f>
              <c:numCache>
                <c:formatCode>General</c:formatCode>
                <c:ptCount val="15"/>
                <c:pt idx="0">
                  <c:v>67</c:v>
                </c:pt>
                <c:pt idx="1">
                  <c:v>87</c:v>
                </c:pt>
                <c:pt idx="2">
                  <c:v>26</c:v>
                </c:pt>
                <c:pt idx="3">
                  <c:v>280</c:v>
                </c:pt>
                <c:pt idx="4">
                  <c:v>201</c:v>
                </c:pt>
                <c:pt idx="5">
                  <c:v>63</c:v>
                </c:pt>
                <c:pt idx="6">
                  <c:v>63</c:v>
                </c:pt>
                <c:pt idx="7">
                  <c:v>201</c:v>
                </c:pt>
                <c:pt idx="8">
                  <c:v>49</c:v>
                </c:pt>
                <c:pt idx="9">
                  <c:v>40</c:v>
                </c:pt>
                <c:pt idx="10">
                  <c:v>115</c:v>
                </c:pt>
                <c:pt idx="11">
                  <c:v>91</c:v>
                </c:pt>
                <c:pt idx="12">
                  <c:v>93</c:v>
                </c:pt>
                <c:pt idx="13">
                  <c:v>144</c:v>
                </c:pt>
                <c:pt idx="14">
                  <c:v>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C7-450B-A699-334A82376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50414720"/>
        <c:axId val="50416256"/>
      </c:barChart>
      <c:catAx>
        <c:axId val="5041472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0416256"/>
        <c:crosses val="autoZero"/>
        <c:auto val="1"/>
        <c:lblAlgn val="ctr"/>
        <c:lblOffset val="100"/>
        <c:noMultiLvlLbl val="0"/>
      </c:catAx>
      <c:valAx>
        <c:axId val="50416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0414720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9798600174978379"/>
          <c:y val="5.092592592592592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6071741032370933E-2"/>
          <c:y val="0.21719750429120241"/>
          <c:w val="0.6101504811898516"/>
          <c:h val="0.63238754325259561"/>
        </c:manualLayout>
      </c:layout>
      <c:lineChart>
        <c:grouping val="standard"/>
        <c:varyColors val="0"/>
        <c:ser>
          <c:idx val="0"/>
          <c:order val="0"/>
          <c:tx>
            <c:strRef>
              <c:f>свод!$P$33</c:f>
              <c:strCache>
                <c:ptCount val="1"/>
                <c:pt idx="0">
                  <c:v>Всего продано стаканов</c:v>
                </c:pt>
              </c:strCache>
            </c:strRef>
          </c:tx>
          <c:cat>
            <c:numRef>
              <c:f>свод!$R$35:$R$46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свод!$P$34:$P$46</c:f>
              <c:numCache>
                <c:formatCode>General</c:formatCode>
                <c:ptCount val="13"/>
                <c:pt idx="1">
                  <c:v>1118</c:v>
                </c:pt>
                <c:pt idx="2">
                  <c:v>993</c:v>
                </c:pt>
                <c:pt idx="3">
                  <c:v>1053</c:v>
                </c:pt>
                <c:pt idx="4">
                  <c:v>1070</c:v>
                </c:pt>
                <c:pt idx="5">
                  <c:v>1149</c:v>
                </c:pt>
                <c:pt idx="6">
                  <c:v>966</c:v>
                </c:pt>
                <c:pt idx="7">
                  <c:v>1014</c:v>
                </c:pt>
                <c:pt idx="8">
                  <c:v>1163</c:v>
                </c:pt>
                <c:pt idx="9">
                  <c:v>1643</c:v>
                </c:pt>
                <c:pt idx="10">
                  <c:v>1284</c:v>
                </c:pt>
                <c:pt idx="11">
                  <c:v>1156</c:v>
                </c:pt>
                <c:pt idx="12">
                  <c:v>1628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65-47EC-8C57-6DA89ACB76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233088"/>
        <c:axId val="70243072"/>
      </c:lineChart>
      <c:catAx>
        <c:axId val="70233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0243072"/>
        <c:crosses val="autoZero"/>
        <c:auto val="1"/>
        <c:lblAlgn val="ctr"/>
        <c:lblOffset val="100"/>
        <c:noMultiLvlLbl val="0"/>
      </c:catAx>
      <c:valAx>
        <c:axId val="702430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023308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571500</xdr:colOff>
      <xdr:row>4</xdr:row>
      <xdr:rowOff>44823</xdr:rowOff>
    </xdr:from>
    <xdr:to>
      <xdr:col>37</xdr:col>
      <xdr:colOff>605116</xdr:colOff>
      <xdr:row>23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571500</xdr:colOff>
      <xdr:row>4</xdr:row>
      <xdr:rowOff>44823</xdr:rowOff>
    </xdr:from>
    <xdr:to>
      <xdr:col>37</xdr:col>
      <xdr:colOff>605116</xdr:colOff>
      <xdr:row>23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571500</xdr:colOff>
      <xdr:row>4</xdr:row>
      <xdr:rowOff>44823</xdr:rowOff>
    </xdr:from>
    <xdr:to>
      <xdr:col>37</xdr:col>
      <xdr:colOff>605116</xdr:colOff>
      <xdr:row>23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571500</xdr:colOff>
      <xdr:row>4</xdr:row>
      <xdr:rowOff>44823</xdr:rowOff>
    </xdr:from>
    <xdr:to>
      <xdr:col>37</xdr:col>
      <xdr:colOff>605116</xdr:colOff>
      <xdr:row>23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571500</xdr:colOff>
      <xdr:row>4</xdr:row>
      <xdr:rowOff>44823</xdr:rowOff>
    </xdr:from>
    <xdr:to>
      <xdr:col>37</xdr:col>
      <xdr:colOff>605116</xdr:colOff>
      <xdr:row>23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571500</xdr:colOff>
      <xdr:row>4</xdr:row>
      <xdr:rowOff>44823</xdr:rowOff>
    </xdr:from>
    <xdr:to>
      <xdr:col>37</xdr:col>
      <xdr:colOff>605116</xdr:colOff>
      <xdr:row>23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571500</xdr:colOff>
      <xdr:row>4</xdr:row>
      <xdr:rowOff>44823</xdr:rowOff>
    </xdr:from>
    <xdr:to>
      <xdr:col>37</xdr:col>
      <xdr:colOff>605116</xdr:colOff>
      <xdr:row>23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571500</xdr:colOff>
      <xdr:row>4</xdr:row>
      <xdr:rowOff>44823</xdr:rowOff>
    </xdr:from>
    <xdr:to>
      <xdr:col>37</xdr:col>
      <xdr:colOff>605116</xdr:colOff>
      <xdr:row>23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571500</xdr:colOff>
      <xdr:row>4</xdr:row>
      <xdr:rowOff>44823</xdr:rowOff>
    </xdr:from>
    <xdr:to>
      <xdr:col>37</xdr:col>
      <xdr:colOff>605116</xdr:colOff>
      <xdr:row>23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571500</xdr:colOff>
      <xdr:row>4</xdr:row>
      <xdr:rowOff>44823</xdr:rowOff>
    </xdr:from>
    <xdr:to>
      <xdr:col>37</xdr:col>
      <xdr:colOff>605116</xdr:colOff>
      <xdr:row>23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571500</xdr:colOff>
      <xdr:row>4</xdr:row>
      <xdr:rowOff>44823</xdr:rowOff>
    </xdr:from>
    <xdr:to>
      <xdr:col>37</xdr:col>
      <xdr:colOff>605116</xdr:colOff>
      <xdr:row>23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571500</xdr:colOff>
      <xdr:row>4</xdr:row>
      <xdr:rowOff>44823</xdr:rowOff>
    </xdr:from>
    <xdr:to>
      <xdr:col>37</xdr:col>
      <xdr:colOff>605116</xdr:colOff>
      <xdr:row>23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57150</xdr:colOff>
      <xdr:row>33</xdr:row>
      <xdr:rowOff>19050</xdr:rowOff>
    </xdr:from>
    <xdr:to>
      <xdr:col>22</xdr:col>
      <xdr:colOff>781050</xdr:colOff>
      <xdr:row>46</xdr:row>
      <xdr:rowOff>1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1042;&#1077;&#1085;&#1076;&#1080;&#1085;&#1075;%20v.2\&#1050;&#1088;&#1077;&#1076;&#1080;&#1090;%20&#1048;&#1055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1042;&#1077;&#1085;&#1076;&#1080;&#1085;&#1075;%202015\&#1048;&#1085;&#1075;&#1088;&#1077;&#1076;&#1080;&#1077;&#1085;&#1090;&#1099;%202015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1042;&#1077;&#1085;&#1076;&#1080;&#1085;&#1075;\&#1048;&#1085;&#1075;&#1088;&#1077;&#1076;&#1080;&#1077;&#1085;&#1090;&#1099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Кредит СТО-Г"/>
      <sheetName val="Кредит СТО-C"/>
      <sheetName val="Кредит Меридиан"/>
      <sheetName val="Кредит СТО-З"/>
      <sheetName val="Кредит Сатурн"/>
      <sheetName val="Кредит Гермес"/>
      <sheetName val="Кредит КСК"/>
      <sheetName val="Кредит Музей"/>
      <sheetName val="Кредит СТО-В"/>
      <sheetName val="Кредит Монетка"/>
      <sheetName val="Кредит Тир"/>
      <sheetName val="Кредит СТМ"/>
      <sheetName val="Кредит АВС"/>
      <sheetName val="Кредит ТОЦ"/>
      <sheetName val="Кредит СТО-С"/>
    </sheetNames>
    <sheetDataSet>
      <sheetData sheetId="0"/>
      <sheetData sheetId="1"/>
      <sheetData sheetId="2">
        <row r="1">
          <cell r="C1">
            <v>0</v>
          </cell>
        </row>
      </sheetData>
      <sheetData sheetId="3">
        <row r="1">
          <cell r="C1" t="str">
            <v>№010-03/4164-13 от 24.10.2013 код 00846104</v>
          </cell>
        </row>
      </sheetData>
      <sheetData sheetId="4">
        <row r="1">
          <cell r="C1">
            <v>0</v>
          </cell>
        </row>
        <row r="2">
          <cell r="C2" t="str">
            <v>потребительский</v>
          </cell>
        </row>
        <row r="3">
          <cell r="C3">
            <v>0.155</v>
          </cell>
        </row>
        <row r="4">
          <cell r="C4">
            <v>0</v>
          </cell>
        </row>
        <row r="5">
          <cell r="C5">
            <v>0</v>
          </cell>
        </row>
        <row r="6">
          <cell r="C6">
            <v>135000</v>
          </cell>
        </row>
        <row r="7">
          <cell r="C7">
            <v>36</v>
          </cell>
        </row>
        <row r="8">
          <cell r="C8">
            <v>41571</v>
          </cell>
        </row>
        <row r="9">
          <cell r="C9">
            <v>42664</v>
          </cell>
        </row>
        <row r="10">
          <cell r="C10">
            <v>0</v>
          </cell>
        </row>
        <row r="12">
          <cell r="C12" t="str">
            <v>Платежи за расчётный период, руб.</v>
          </cell>
        </row>
        <row r="13">
          <cell r="C13" t="str">
            <v>Сумма платежа</v>
          </cell>
        </row>
        <row r="14">
          <cell r="C14">
            <v>0</v>
          </cell>
        </row>
        <row r="15">
          <cell r="A15">
            <v>41579</v>
          </cell>
          <cell r="C15">
            <v>-135000</v>
          </cell>
        </row>
        <row r="16">
          <cell r="A16">
            <v>41609</v>
          </cell>
          <cell r="C16">
            <v>5125.8900000000003</v>
          </cell>
        </row>
        <row r="17">
          <cell r="A17">
            <v>41640</v>
          </cell>
          <cell r="C17">
            <v>5509.67</v>
          </cell>
        </row>
        <row r="18">
          <cell r="A18">
            <v>41671</v>
          </cell>
          <cell r="C18">
            <v>5460.31</v>
          </cell>
        </row>
        <row r="19">
          <cell r="A19">
            <v>41699</v>
          </cell>
          <cell r="C19">
            <v>5253.29</v>
          </cell>
        </row>
        <row r="20">
          <cell r="A20">
            <v>41730</v>
          </cell>
          <cell r="C20">
            <v>5361.58</v>
          </cell>
        </row>
        <row r="21">
          <cell r="A21">
            <v>41760</v>
          </cell>
          <cell r="C21">
            <v>5264.43</v>
          </cell>
        </row>
        <row r="22">
          <cell r="A22">
            <v>41791</v>
          </cell>
          <cell r="C22">
            <v>5262.84</v>
          </cell>
        </row>
        <row r="23">
          <cell r="A23">
            <v>41821</v>
          </cell>
          <cell r="C23">
            <v>5167.29</v>
          </cell>
        </row>
        <row r="24">
          <cell r="A24">
            <v>41852</v>
          </cell>
          <cell r="C24">
            <v>5165.7</v>
          </cell>
        </row>
        <row r="25">
          <cell r="A25">
            <v>41883</v>
          </cell>
          <cell r="C25">
            <v>5117.74</v>
          </cell>
        </row>
        <row r="26">
          <cell r="A26">
            <v>41913</v>
          </cell>
          <cell r="C26">
            <v>5000</v>
          </cell>
        </row>
        <row r="27">
          <cell r="A27">
            <v>41944</v>
          </cell>
          <cell r="C27">
            <v>5000</v>
          </cell>
        </row>
        <row r="28">
          <cell r="A28">
            <v>41974</v>
          </cell>
          <cell r="C28">
            <v>5000</v>
          </cell>
        </row>
        <row r="29">
          <cell r="A29">
            <v>42005</v>
          </cell>
          <cell r="C29">
            <v>5000</v>
          </cell>
        </row>
        <row r="30">
          <cell r="A30">
            <v>42036</v>
          </cell>
          <cell r="C30">
            <v>2800</v>
          </cell>
        </row>
        <row r="31">
          <cell r="A31">
            <v>42064</v>
          </cell>
          <cell r="C31">
            <v>2800</v>
          </cell>
        </row>
        <row r="32">
          <cell r="A32">
            <v>42095</v>
          </cell>
          <cell r="C32">
            <v>2064</v>
          </cell>
        </row>
        <row r="33">
          <cell r="A33">
            <v>42125</v>
          </cell>
          <cell r="C33">
            <v>2064</v>
          </cell>
        </row>
        <row r="34">
          <cell r="A34">
            <v>42156</v>
          </cell>
          <cell r="C34">
            <v>2064</v>
          </cell>
        </row>
        <row r="35">
          <cell r="A35">
            <v>42186</v>
          </cell>
          <cell r="C35">
            <v>2064</v>
          </cell>
        </row>
        <row r="36">
          <cell r="A36">
            <v>42217</v>
          </cell>
          <cell r="C36">
            <v>2064</v>
          </cell>
        </row>
        <row r="37">
          <cell r="A37">
            <v>42248</v>
          </cell>
          <cell r="C37">
            <v>2064</v>
          </cell>
        </row>
        <row r="38">
          <cell r="A38">
            <v>42278</v>
          </cell>
          <cell r="C38">
            <v>2064</v>
          </cell>
        </row>
        <row r="39">
          <cell r="A39">
            <v>42309</v>
          </cell>
          <cell r="C39">
            <v>2064</v>
          </cell>
        </row>
        <row r="40">
          <cell r="A40">
            <v>42339</v>
          </cell>
          <cell r="C40">
            <v>2064</v>
          </cell>
        </row>
        <row r="41">
          <cell r="A41">
            <v>42370</v>
          </cell>
          <cell r="C41">
            <v>2064</v>
          </cell>
        </row>
        <row r="42">
          <cell r="A42">
            <v>42401</v>
          </cell>
          <cell r="C42">
            <v>2064</v>
          </cell>
        </row>
        <row r="43">
          <cell r="A43">
            <v>42430</v>
          </cell>
          <cell r="C43">
            <v>2064</v>
          </cell>
        </row>
        <row r="44">
          <cell r="A44">
            <v>42461</v>
          </cell>
          <cell r="C44">
            <v>2064</v>
          </cell>
        </row>
        <row r="45">
          <cell r="A45">
            <v>42491</v>
          </cell>
          <cell r="C45">
            <v>2064</v>
          </cell>
        </row>
        <row r="46">
          <cell r="A46">
            <v>42522</v>
          </cell>
          <cell r="C46">
            <v>2064</v>
          </cell>
        </row>
        <row r="47">
          <cell r="A47">
            <v>42552</v>
          </cell>
          <cell r="C47">
            <v>2064</v>
          </cell>
        </row>
        <row r="48">
          <cell r="A48">
            <v>42583</v>
          </cell>
          <cell r="C48">
            <v>2064</v>
          </cell>
        </row>
        <row r="49">
          <cell r="A49">
            <v>42614</v>
          </cell>
          <cell r="C49">
            <v>2064</v>
          </cell>
        </row>
        <row r="50">
          <cell r="A50">
            <v>42644</v>
          </cell>
          <cell r="C50">
            <v>2064</v>
          </cell>
        </row>
        <row r="51">
          <cell r="A51">
            <v>42675</v>
          </cell>
          <cell r="C51">
            <v>2064</v>
          </cell>
        </row>
        <row r="52">
          <cell r="A52">
            <v>42705</v>
          </cell>
          <cell r="C52">
            <v>2064</v>
          </cell>
        </row>
        <row r="53">
          <cell r="A53">
            <v>42736</v>
          </cell>
          <cell r="C53">
            <v>2064</v>
          </cell>
        </row>
        <row r="54">
          <cell r="A54">
            <v>42767</v>
          </cell>
          <cell r="C54">
            <v>2064</v>
          </cell>
        </row>
        <row r="55">
          <cell r="A55">
            <v>42795</v>
          </cell>
          <cell r="C55">
            <v>2064</v>
          </cell>
        </row>
        <row r="56">
          <cell r="A56">
            <v>42826</v>
          </cell>
          <cell r="C56">
            <v>2064</v>
          </cell>
        </row>
        <row r="57">
          <cell r="A57">
            <v>42856</v>
          </cell>
          <cell r="C57">
            <v>2064</v>
          </cell>
        </row>
        <row r="58">
          <cell r="C58">
            <v>119568.74</v>
          </cell>
        </row>
      </sheetData>
      <sheetData sheetId="5">
        <row r="1">
          <cell r="C1" t="str">
            <v>№ 00-0001700 от 26.02.2014 код 00977887</v>
          </cell>
        </row>
      </sheetData>
      <sheetData sheetId="6">
        <row r="1">
          <cell r="C1">
            <v>0</v>
          </cell>
        </row>
      </sheetData>
      <sheetData sheetId="7">
        <row r="1">
          <cell r="C1">
            <v>0</v>
          </cell>
        </row>
      </sheetData>
      <sheetData sheetId="8">
        <row r="1">
          <cell r="C1">
            <v>0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Цена ингредиентов"/>
      <sheetName val="Себестоимость "/>
      <sheetName val="Ингредиенты"/>
      <sheetName val="Расход ингредиентов"/>
      <sheetName val="Акции 2014"/>
    </sheetNames>
    <sheetDataSet>
      <sheetData sheetId="0" refreshError="1"/>
      <sheetData sheetId="1" refreshError="1"/>
      <sheetData sheetId="2" refreshError="1"/>
      <sheetData sheetId="3">
        <row r="23">
          <cell r="D23">
            <v>6500</v>
          </cell>
        </row>
        <row r="47">
          <cell r="D47">
            <v>5700</v>
          </cell>
        </row>
        <row r="71">
          <cell r="D71">
            <v>8600</v>
          </cell>
        </row>
        <row r="95">
          <cell r="D95">
            <v>6600</v>
          </cell>
        </row>
        <row r="116">
          <cell r="D116">
            <v>-510</v>
          </cell>
        </row>
        <row r="117">
          <cell r="D117">
            <v>377</v>
          </cell>
        </row>
        <row r="120">
          <cell r="D120">
            <v>9100</v>
          </cell>
        </row>
        <row r="141">
          <cell r="D141">
            <v>80</v>
          </cell>
        </row>
        <row r="145">
          <cell r="D145">
            <v>5100</v>
          </cell>
        </row>
        <row r="162">
          <cell r="D162">
            <v>-790</v>
          </cell>
        </row>
        <row r="163">
          <cell r="D163">
            <v>500.75187969924809</v>
          </cell>
        </row>
        <row r="166">
          <cell r="D166">
            <v>3600</v>
          </cell>
        </row>
        <row r="183">
          <cell r="D183">
            <v>40</v>
          </cell>
        </row>
        <row r="184">
          <cell r="D184">
            <v>318.40796019900495</v>
          </cell>
        </row>
        <row r="187">
          <cell r="D187">
            <v>8000</v>
          </cell>
        </row>
        <row r="204">
          <cell r="D204">
            <v>1890</v>
          </cell>
        </row>
        <row r="205">
          <cell r="D205">
            <v>1189.7435897435898</v>
          </cell>
        </row>
        <row r="208">
          <cell r="D208">
            <v>9600</v>
          </cell>
        </row>
        <row r="226">
          <cell r="D226">
            <v>-1330</v>
          </cell>
        </row>
        <row r="230">
          <cell r="D230">
            <v>9800</v>
          </cell>
        </row>
        <row r="247">
          <cell r="D247">
            <v>-2360</v>
          </cell>
        </row>
        <row r="248">
          <cell r="D248">
            <v>936.32653061224482</v>
          </cell>
        </row>
        <row r="251">
          <cell r="D251">
            <v>7400</v>
          </cell>
        </row>
        <row r="268">
          <cell r="D268">
            <v>1500</v>
          </cell>
        </row>
        <row r="269">
          <cell r="D269">
            <v>437.95918367346934</v>
          </cell>
        </row>
        <row r="272">
          <cell r="D272">
            <v>10900</v>
          </cell>
        </row>
      </sheetData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Цена покупки"/>
      <sheetName val="Себестоимость "/>
      <sheetName val="Ингредиенты"/>
      <sheetName val="Для заказа"/>
      <sheetName val="Расход ингредиентов"/>
      <sheetName val="Акции 2013"/>
      <sheetName val="Акции 2014"/>
    </sheetNames>
    <sheetDataSet>
      <sheetData sheetId="0" refreshError="1"/>
      <sheetData sheetId="1">
        <row r="17">
          <cell r="D17">
            <v>9.3083333333333336</v>
          </cell>
          <cell r="E17">
            <v>8.293333333333333</v>
          </cell>
          <cell r="F17">
            <v>8.8783333333333339</v>
          </cell>
          <cell r="G17">
            <v>9.6033333333333317</v>
          </cell>
          <cell r="H17">
            <v>9.1123333333333321</v>
          </cell>
          <cell r="I17">
            <v>3.6233333333333335</v>
          </cell>
          <cell r="J17" t="e">
            <v>#REF!</v>
          </cell>
          <cell r="K17">
            <v>3.2199999999999998</v>
          </cell>
          <cell r="L17">
            <v>4.53</v>
          </cell>
          <cell r="M17">
            <v>3.427</v>
          </cell>
          <cell r="N17">
            <v>3.7050000000000001</v>
          </cell>
          <cell r="O17">
            <v>5.1150000000000002</v>
          </cell>
          <cell r="P17">
            <v>4.43</v>
          </cell>
          <cell r="Q17">
            <v>4.8649999999999993</v>
          </cell>
          <cell r="R17">
            <v>4.7249999999999996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Z45"/>
  <sheetViews>
    <sheetView zoomScale="85" zoomScaleNormal="85" workbookViewId="0">
      <pane ySplit="2" topLeftCell="A3" activePane="bottomLeft" state="frozen"/>
      <selection activeCell="B17" sqref="B17"/>
      <selection pane="bottomLeft" activeCell="H33" sqref="H33"/>
    </sheetView>
  </sheetViews>
  <sheetFormatPr defaultRowHeight="15" x14ac:dyDescent="0.25"/>
  <cols>
    <col min="1" max="1" width="6.5703125" customWidth="1"/>
    <col min="2" max="2" width="30.42578125" bestFit="1" customWidth="1"/>
    <col min="3" max="3" width="15.28515625" customWidth="1"/>
    <col min="5" max="5" width="8.42578125" bestFit="1" customWidth="1"/>
    <col min="6" max="6" width="12.7109375" bestFit="1" customWidth="1"/>
    <col min="7" max="7" width="12.140625" bestFit="1" customWidth="1"/>
    <col min="8" max="8" width="48.42578125" bestFit="1" customWidth="1"/>
    <col min="9" max="9" width="8.7109375" style="20" bestFit="1" customWidth="1"/>
    <col min="10" max="10" width="12.28515625" customWidth="1"/>
    <col min="11" max="11" width="11.28515625" customWidth="1"/>
    <col min="12" max="12" width="10.140625" customWidth="1"/>
    <col min="13" max="16" width="9.28515625" bestFit="1" customWidth="1"/>
    <col min="17" max="17" width="9.85546875" bestFit="1" customWidth="1"/>
    <col min="18" max="22" width="9.28515625" bestFit="1" customWidth="1"/>
    <col min="23" max="23" width="11" customWidth="1"/>
    <col min="24" max="24" width="10.5703125" bestFit="1" customWidth="1"/>
    <col min="25" max="25" width="9.7109375" style="5" customWidth="1"/>
    <col min="26" max="26" width="10.28515625" bestFit="1" customWidth="1"/>
    <col min="249" max="249" width="30.42578125" bestFit="1" customWidth="1"/>
    <col min="250" max="250" width="12.140625" customWidth="1"/>
    <col min="251" max="251" width="29.140625" bestFit="1" customWidth="1"/>
    <col min="252" max="252" width="12.5703125" customWidth="1"/>
    <col min="254" max="254" width="24" customWidth="1"/>
    <col min="255" max="255" width="22.28515625" customWidth="1"/>
    <col min="257" max="257" width="10.140625" bestFit="1" customWidth="1"/>
    <col min="258" max="258" width="12.7109375" bestFit="1" customWidth="1"/>
    <col min="259" max="259" width="12.140625" bestFit="1" customWidth="1"/>
    <col min="260" max="260" width="24.42578125" bestFit="1" customWidth="1"/>
    <col min="505" max="505" width="30.42578125" bestFit="1" customWidth="1"/>
    <col min="506" max="506" width="12.140625" customWidth="1"/>
    <col min="507" max="507" width="29.140625" bestFit="1" customWidth="1"/>
    <col min="508" max="508" width="12.5703125" customWidth="1"/>
    <col min="510" max="510" width="24" customWidth="1"/>
    <col min="511" max="511" width="22.28515625" customWidth="1"/>
    <col min="513" max="513" width="10.140625" bestFit="1" customWidth="1"/>
    <col min="514" max="514" width="12.7109375" bestFit="1" customWidth="1"/>
    <col min="515" max="515" width="12.140625" bestFit="1" customWidth="1"/>
    <col min="516" max="516" width="24.42578125" bestFit="1" customWidth="1"/>
    <col min="761" max="761" width="30.42578125" bestFit="1" customWidth="1"/>
    <col min="762" max="762" width="12.140625" customWidth="1"/>
    <col min="763" max="763" width="29.140625" bestFit="1" customWidth="1"/>
    <col min="764" max="764" width="12.5703125" customWidth="1"/>
    <col min="766" max="766" width="24" customWidth="1"/>
    <col min="767" max="767" width="22.28515625" customWidth="1"/>
    <col min="769" max="769" width="10.140625" bestFit="1" customWidth="1"/>
    <col min="770" max="770" width="12.7109375" bestFit="1" customWidth="1"/>
    <col min="771" max="771" width="12.140625" bestFit="1" customWidth="1"/>
    <col min="772" max="772" width="24.42578125" bestFit="1" customWidth="1"/>
    <col min="1017" max="1017" width="30.42578125" bestFit="1" customWidth="1"/>
    <col min="1018" max="1018" width="12.140625" customWidth="1"/>
    <col min="1019" max="1019" width="29.140625" bestFit="1" customWidth="1"/>
    <col min="1020" max="1020" width="12.5703125" customWidth="1"/>
    <col min="1022" max="1022" width="24" customWidth="1"/>
    <col min="1023" max="1023" width="22.28515625" customWidth="1"/>
    <col min="1025" max="1025" width="10.140625" bestFit="1" customWidth="1"/>
    <col min="1026" max="1026" width="12.7109375" bestFit="1" customWidth="1"/>
    <col min="1027" max="1027" width="12.140625" bestFit="1" customWidth="1"/>
    <col min="1028" max="1028" width="24.42578125" bestFit="1" customWidth="1"/>
    <col min="1273" max="1273" width="30.42578125" bestFit="1" customWidth="1"/>
    <col min="1274" max="1274" width="12.140625" customWidth="1"/>
    <col min="1275" max="1275" width="29.140625" bestFit="1" customWidth="1"/>
    <col min="1276" max="1276" width="12.5703125" customWidth="1"/>
    <col min="1278" max="1278" width="24" customWidth="1"/>
    <col min="1279" max="1279" width="22.28515625" customWidth="1"/>
    <col min="1281" max="1281" width="10.140625" bestFit="1" customWidth="1"/>
    <col min="1282" max="1282" width="12.7109375" bestFit="1" customWidth="1"/>
    <col min="1283" max="1283" width="12.140625" bestFit="1" customWidth="1"/>
    <col min="1284" max="1284" width="24.42578125" bestFit="1" customWidth="1"/>
    <col min="1529" max="1529" width="30.42578125" bestFit="1" customWidth="1"/>
    <col min="1530" max="1530" width="12.140625" customWidth="1"/>
    <col min="1531" max="1531" width="29.140625" bestFit="1" customWidth="1"/>
    <col min="1532" max="1532" width="12.5703125" customWidth="1"/>
    <col min="1534" max="1534" width="24" customWidth="1"/>
    <col min="1535" max="1535" width="22.28515625" customWidth="1"/>
    <col min="1537" max="1537" width="10.140625" bestFit="1" customWidth="1"/>
    <col min="1538" max="1538" width="12.7109375" bestFit="1" customWidth="1"/>
    <col min="1539" max="1539" width="12.140625" bestFit="1" customWidth="1"/>
    <col min="1540" max="1540" width="24.42578125" bestFit="1" customWidth="1"/>
    <col min="1785" max="1785" width="30.42578125" bestFit="1" customWidth="1"/>
    <col min="1786" max="1786" width="12.140625" customWidth="1"/>
    <col min="1787" max="1787" width="29.140625" bestFit="1" customWidth="1"/>
    <col min="1788" max="1788" width="12.5703125" customWidth="1"/>
    <col min="1790" max="1790" width="24" customWidth="1"/>
    <col min="1791" max="1791" width="22.28515625" customWidth="1"/>
    <col min="1793" max="1793" width="10.140625" bestFit="1" customWidth="1"/>
    <col min="1794" max="1794" width="12.7109375" bestFit="1" customWidth="1"/>
    <col min="1795" max="1795" width="12.140625" bestFit="1" customWidth="1"/>
    <col min="1796" max="1796" width="24.42578125" bestFit="1" customWidth="1"/>
    <col min="2041" max="2041" width="30.42578125" bestFit="1" customWidth="1"/>
    <col min="2042" max="2042" width="12.140625" customWidth="1"/>
    <col min="2043" max="2043" width="29.140625" bestFit="1" customWidth="1"/>
    <col min="2044" max="2044" width="12.5703125" customWidth="1"/>
    <col min="2046" max="2046" width="24" customWidth="1"/>
    <col min="2047" max="2047" width="22.28515625" customWidth="1"/>
    <col min="2049" max="2049" width="10.140625" bestFit="1" customWidth="1"/>
    <col min="2050" max="2050" width="12.7109375" bestFit="1" customWidth="1"/>
    <col min="2051" max="2051" width="12.140625" bestFit="1" customWidth="1"/>
    <col min="2052" max="2052" width="24.42578125" bestFit="1" customWidth="1"/>
    <col min="2297" max="2297" width="30.42578125" bestFit="1" customWidth="1"/>
    <col min="2298" max="2298" width="12.140625" customWidth="1"/>
    <col min="2299" max="2299" width="29.140625" bestFit="1" customWidth="1"/>
    <col min="2300" max="2300" width="12.5703125" customWidth="1"/>
    <col min="2302" max="2302" width="24" customWidth="1"/>
    <col min="2303" max="2303" width="22.28515625" customWidth="1"/>
    <col min="2305" max="2305" width="10.140625" bestFit="1" customWidth="1"/>
    <col min="2306" max="2306" width="12.7109375" bestFit="1" customWidth="1"/>
    <col min="2307" max="2307" width="12.140625" bestFit="1" customWidth="1"/>
    <col min="2308" max="2308" width="24.42578125" bestFit="1" customWidth="1"/>
    <col min="2553" max="2553" width="30.42578125" bestFit="1" customWidth="1"/>
    <col min="2554" max="2554" width="12.140625" customWidth="1"/>
    <col min="2555" max="2555" width="29.140625" bestFit="1" customWidth="1"/>
    <col min="2556" max="2556" width="12.5703125" customWidth="1"/>
    <col min="2558" max="2558" width="24" customWidth="1"/>
    <col min="2559" max="2559" width="22.28515625" customWidth="1"/>
    <col min="2561" max="2561" width="10.140625" bestFit="1" customWidth="1"/>
    <col min="2562" max="2562" width="12.7109375" bestFit="1" customWidth="1"/>
    <col min="2563" max="2563" width="12.140625" bestFit="1" customWidth="1"/>
    <col min="2564" max="2564" width="24.42578125" bestFit="1" customWidth="1"/>
    <col min="2809" max="2809" width="30.42578125" bestFit="1" customWidth="1"/>
    <col min="2810" max="2810" width="12.140625" customWidth="1"/>
    <col min="2811" max="2811" width="29.140625" bestFit="1" customWidth="1"/>
    <col min="2812" max="2812" width="12.5703125" customWidth="1"/>
    <col min="2814" max="2814" width="24" customWidth="1"/>
    <col min="2815" max="2815" width="22.28515625" customWidth="1"/>
    <col min="2817" max="2817" width="10.140625" bestFit="1" customWidth="1"/>
    <col min="2818" max="2818" width="12.7109375" bestFit="1" customWidth="1"/>
    <col min="2819" max="2819" width="12.140625" bestFit="1" customWidth="1"/>
    <col min="2820" max="2820" width="24.42578125" bestFit="1" customWidth="1"/>
    <col min="3065" max="3065" width="30.42578125" bestFit="1" customWidth="1"/>
    <col min="3066" max="3066" width="12.140625" customWidth="1"/>
    <col min="3067" max="3067" width="29.140625" bestFit="1" customWidth="1"/>
    <col min="3068" max="3068" width="12.5703125" customWidth="1"/>
    <col min="3070" max="3070" width="24" customWidth="1"/>
    <col min="3071" max="3071" width="22.28515625" customWidth="1"/>
    <col min="3073" max="3073" width="10.140625" bestFit="1" customWidth="1"/>
    <col min="3074" max="3074" width="12.7109375" bestFit="1" customWidth="1"/>
    <col min="3075" max="3075" width="12.140625" bestFit="1" customWidth="1"/>
    <col min="3076" max="3076" width="24.42578125" bestFit="1" customWidth="1"/>
    <col min="3321" max="3321" width="30.42578125" bestFit="1" customWidth="1"/>
    <col min="3322" max="3322" width="12.140625" customWidth="1"/>
    <col min="3323" max="3323" width="29.140625" bestFit="1" customWidth="1"/>
    <col min="3324" max="3324" width="12.5703125" customWidth="1"/>
    <col min="3326" max="3326" width="24" customWidth="1"/>
    <col min="3327" max="3327" width="22.28515625" customWidth="1"/>
    <col min="3329" max="3329" width="10.140625" bestFit="1" customWidth="1"/>
    <col min="3330" max="3330" width="12.7109375" bestFit="1" customWidth="1"/>
    <col min="3331" max="3331" width="12.140625" bestFit="1" customWidth="1"/>
    <col min="3332" max="3332" width="24.42578125" bestFit="1" customWidth="1"/>
    <col min="3577" max="3577" width="30.42578125" bestFit="1" customWidth="1"/>
    <col min="3578" max="3578" width="12.140625" customWidth="1"/>
    <col min="3579" max="3579" width="29.140625" bestFit="1" customWidth="1"/>
    <col min="3580" max="3580" width="12.5703125" customWidth="1"/>
    <col min="3582" max="3582" width="24" customWidth="1"/>
    <col min="3583" max="3583" width="22.28515625" customWidth="1"/>
    <col min="3585" max="3585" width="10.140625" bestFit="1" customWidth="1"/>
    <col min="3586" max="3586" width="12.7109375" bestFit="1" customWidth="1"/>
    <col min="3587" max="3587" width="12.140625" bestFit="1" customWidth="1"/>
    <col min="3588" max="3588" width="24.42578125" bestFit="1" customWidth="1"/>
    <col min="3833" max="3833" width="30.42578125" bestFit="1" customWidth="1"/>
    <col min="3834" max="3834" width="12.140625" customWidth="1"/>
    <col min="3835" max="3835" width="29.140625" bestFit="1" customWidth="1"/>
    <col min="3836" max="3836" width="12.5703125" customWidth="1"/>
    <col min="3838" max="3838" width="24" customWidth="1"/>
    <col min="3839" max="3839" width="22.28515625" customWidth="1"/>
    <col min="3841" max="3841" width="10.140625" bestFit="1" customWidth="1"/>
    <col min="3842" max="3842" width="12.7109375" bestFit="1" customWidth="1"/>
    <col min="3843" max="3843" width="12.140625" bestFit="1" customWidth="1"/>
    <col min="3844" max="3844" width="24.42578125" bestFit="1" customWidth="1"/>
    <col min="4089" max="4089" width="30.42578125" bestFit="1" customWidth="1"/>
    <col min="4090" max="4090" width="12.140625" customWidth="1"/>
    <col min="4091" max="4091" width="29.140625" bestFit="1" customWidth="1"/>
    <col min="4092" max="4092" width="12.5703125" customWidth="1"/>
    <col min="4094" max="4094" width="24" customWidth="1"/>
    <col min="4095" max="4095" width="22.28515625" customWidth="1"/>
    <col min="4097" max="4097" width="10.140625" bestFit="1" customWidth="1"/>
    <col min="4098" max="4098" width="12.7109375" bestFit="1" customWidth="1"/>
    <col min="4099" max="4099" width="12.140625" bestFit="1" customWidth="1"/>
    <col min="4100" max="4100" width="24.42578125" bestFit="1" customWidth="1"/>
    <col min="4345" max="4345" width="30.42578125" bestFit="1" customWidth="1"/>
    <col min="4346" max="4346" width="12.140625" customWidth="1"/>
    <col min="4347" max="4347" width="29.140625" bestFit="1" customWidth="1"/>
    <col min="4348" max="4348" width="12.5703125" customWidth="1"/>
    <col min="4350" max="4350" width="24" customWidth="1"/>
    <col min="4351" max="4351" width="22.28515625" customWidth="1"/>
    <col min="4353" max="4353" width="10.140625" bestFit="1" customWidth="1"/>
    <col min="4354" max="4354" width="12.7109375" bestFit="1" customWidth="1"/>
    <col min="4355" max="4355" width="12.140625" bestFit="1" customWidth="1"/>
    <col min="4356" max="4356" width="24.42578125" bestFit="1" customWidth="1"/>
    <col min="4601" max="4601" width="30.42578125" bestFit="1" customWidth="1"/>
    <col min="4602" max="4602" width="12.140625" customWidth="1"/>
    <col min="4603" max="4603" width="29.140625" bestFit="1" customWidth="1"/>
    <col min="4604" max="4604" width="12.5703125" customWidth="1"/>
    <col min="4606" max="4606" width="24" customWidth="1"/>
    <col min="4607" max="4607" width="22.28515625" customWidth="1"/>
    <col min="4609" max="4609" width="10.140625" bestFit="1" customWidth="1"/>
    <col min="4610" max="4610" width="12.7109375" bestFit="1" customWidth="1"/>
    <col min="4611" max="4611" width="12.140625" bestFit="1" customWidth="1"/>
    <col min="4612" max="4612" width="24.42578125" bestFit="1" customWidth="1"/>
    <col min="4857" max="4857" width="30.42578125" bestFit="1" customWidth="1"/>
    <col min="4858" max="4858" width="12.140625" customWidth="1"/>
    <col min="4859" max="4859" width="29.140625" bestFit="1" customWidth="1"/>
    <col min="4860" max="4860" width="12.5703125" customWidth="1"/>
    <col min="4862" max="4862" width="24" customWidth="1"/>
    <col min="4863" max="4863" width="22.28515625" customWidth="1"/>
    <col min="4865" max="4865" width="10.140625" bestFit="1" customWidth="1"/>
    <col min="4866" max="4866" width="12.7109375" bestFit="1" customWidth="1"/>
    <col min="4867" max="4867" width="12.140625" bestFit="1" customWidth="1"/>
    <col min="4868" max="4868" width="24.42578125" bestFit="1" customWidth="1"/>
    <col min="5113" max="5113" width="30.42578125" bestFit="1" customWidth="1"/>
    <col min="5114" max="5114" width="12.140625" customWidth="1"/>
    <col min="5115" max="5115" width="29.140625" bestFit="1" customWidth="1"/>
    <col min="5116" max="5116" width="12.5703125" customWidth="1"/>
    <col min="5118" max="5118" width="24" customWidth="1"/>
    <col min="5119" max="5119" width="22.28515625" customWidth="1"/>
    <col min="5121" max="5121" width="10.140625" bestFit="1" customWidth="1"/>
    <col min="5122" max="5122" width="12.7109375" bestFit="1" customWidth="1"/>
    <col min="5123" max="5123" width="12.140625" bestFit="1" customWidth="1"/>
    <col min="5124" max="5124" width="24.42578125" bestFit="1" customWidth="1"/>
    <col min="5369" max="5369" width="30.42578125" bestFit="1" customWidth="1"/>
    <col min="5370" max="5370" width="12.140625" customWidth="1"/>
    <col min="5371" max="5371" width="29.140625" bestFit="1" customWidth="1"/>
    <col min="5372" max="5372" width="12.5703125" customWidth="1"/>
    <col min="5374" max="5374" width="24" customWidth="1"/>
    <col min="5375" max="5375" width="22.28515625" customWidth="1"/>
    <col min="5377" max="5377" width="10.140625" bestFit="1" customWidth="1"/>
    <col min="5378" max="5378" width="12.7109375" bestFit="1" customWidth="1"/>
    <col min="5379" max="5379" width="12.140625" bestFit="1" customWidth="1"/>
    <col min="5380" max="5380" width="24.42578125" bestFit="1" customWidth="1"/>
    <col min="5625" max="5625" width="30.42578125" bestFit="1" customWidth="1"/>
    <col min="5626" max="5626" width="12.140625" customWidth="1"/>
    <col min="5627" max="5627" width="29.140625" bestFit="1" customWidth="1"/>
    <col min="5628" max="5628" width="12.5703125" customWidth="1"/>
    <col min="5630" max="5630" width="24" customWidth="1"/>
    <col min="5631" max="5631" width="22.28515625" customWidth="1"/>
    <col min="5633" max="5633" width="10.140625" bestFit="1" customWidth="1"/>
    <col min="5634" max="5634" width="12.7109375" bestFit="1" customWidth="1"/>
    <col min="5635" max="5635" width="12.140625" bestFit="1" customWidth="1"/>
    <col min="5636" max="5636" width="24.42578125" bestFit="1" customWidth="1"/>
    <col min="5881" max="5881" width="30.42578125" bestFit="1" customWidth="1"/>
    <col min="5882" max="5882" width="12.140625" customWidth="1"/>
    <col min="5883" max="5883" width="29.140625" bestFit="1" customWidth="1"/>
    <col min="5884" max="5884" width="12.5703125" customWidth="1"/>
    <col min="5886" max="5886" width="24" customWidth="1"/>
    <col min="5887" max="5887" width="22.28515625" customWidth="1"/>
    <col min="5889" max="5889" width="10.140625" bestFit="1" customWidth="1"/>
    <col min="5890" max="5890" width="12.7109375" bestFit="1" customWidth="1"/>
    <col min="5891" max="5891" width="12.140625" bestFit="1" customWidth="1"/>
    <col min="5892" max="5892" width="24.42578125" bestFit="1" customWidth="1"/>
    <col min="6137" max="6137" width="30.42578125" bestFit="1" customWidth="1"/>
    <col min="6138" max="6138" width="12.140625" customWidth="1"/>
    <col min="6139" max="6139" width="29.140625" bestFit="1" customWidth="1"/>
    <col min="6140" max="6140" width="12.5703125" customWidth="1"/>
    <col min="6142" max="6142" width="24" customWidth="1"/>
    <col min="6143" max="6143" width="22.28515625" customWidth="1"/>
    <col min="6145" max="6145" width="10.140625" bestFit="1" customWidth="1"/>
    <col min="6146" max="6146" width="12.7109375" bestFit="1" customWidth="1"/>
    <col min="6147" max="6147" width="12.140625" bestFit="1" customWidth="1"/>
    <col min="6148" max="6148" width="24.42578125" bestFit="1" customWidth="1"/>
    <col min="6393" max="6393" width="30.42578125" bestFit="1" customWidth="1"/>
    <col min="6394" max="6394" width="12.140625" customWidth="1"/>
    <col min="6395" max="6395" width="29.140625" bestFit="1" customWidth="1"/>
    <col min="6396" max="6396" width="12.5703125" customWidth="1"/>
    <col min="6398" max="6398" width="24" customWidth="1"/>
    <col min="6399" max="6399" width="22.28515625" customWidth="1"/>
    <col min="6401" max="6401" width="10.140625" bestFit="1" customWidth="1"/>
    <col min="6402" max="6402" width="12.7109375" bestFit="1" customWidth="1"/>
    <col min="6403" max="6403" width="12.140625" bestFit="1" customWidth="1"/>
    <col min="6404" max="6404" width="24.42578125" bestFit="1" customWidth="1"/>
    <col min="6649" max="6649" width="30.42578125" bestFit="1" customWidth="1"/>
    <col min="6650" max="6650" width="12.140625" customWidth="1"/>
    <col min="6651" max="6651" width="29.140625" bestFit="1" customWidth="1"/>
    <col min="6652" max="6652" width="12.5703125" customWidth="1"/>
    <col min="6654" max="6654" width="24" customWidth="1"/>
    <col min="6655" max="6655" width="22.28515625" customWidth="1"/>
    <col min="6657" max="6657" width="10.140625" bestFit="1" customWidth="1"/>
    <col min="6658" max="6658" width="12.7109375" bestFit="1" customWidth="1"/>
    <col min="6659" max="6659" width="12.140625" bestFit="1" customWidth="1"/>
    <col min="6660" max="6660" width="24.42578125" bestFit="1" customWidth="1"/>
    <col min="6905" max="6905" width="30.42578125" bestFit="1" customWidth="1"/>
    <col min="6906" max="6906" width="12.140625" customWidth="1"/>
    <col min="6907" max="6907" width="29.140625" bestFit="1" customWidth="1"/>
    <col min="6908" max="6908" width="12.5703125" customWidth="1"/>
    <col min="6910" max="6910" width="24" customWidth="1"/>
    <col min="6911" max="6911" width="22.28515625" customWidth="1"/>
    <col min="6913" max="6913" width="10.140625" bestFit="1" customWidth="1"/>
    <col min="6914" max="6914" width="12.7109375" bestFit="1" customWidth="1"/>
    <col min="6915" max="6915" width="12.140625" bestFit="1" customWidth="1"/>
    <col min="6916" max="6916" width="24.42578125" bestFit="1" customWidth="1"/>
    <col min="7161" max="7161" width="30.42578125" bestFit="1" customWidth="1"/>
    <col min="7162" max="7162" width="12.140625" customWidth="1"/>
    <col min="7163" max="7163" width="29.140625" bestFit="1" customWidth="1"/>
    <col min="7164" max="7164" width="12.5703125" customWidth="1"/>
    <col min="7166" max="7166" width="24" customWidth="1"/>
    <col min="7167" max="7167" width="22.28515625" customWidth="1"/>
    <col min="7169" max="7169" width="10.140625" bestFit="1" customWidth="1"/>
    <col min="7170" max="7170" width="12.7109375" bestFit="1" customWidth="1"/>
    <col min="7171" max="7171" width="12.140625" bestFit="1" customWidth="1"/>
    <col min="7172" max="7172" width="24.42578125" bestFit="1" customWidth="1"/>
    <col min="7417" max="7417" width="30.42578125" bestFit="1" customWidth="1"/>
    <col min="7418" max="7418" width="12.140625" customWidth="1"/>
    <col min="7419" max="7419" width="29.140625" bestFit="1" customWidth="1"/>
    <col min="7420" max="7420" width="12.5703125" customWidth="1"/>
    <col min="7422" max="7422" width="24" customWidth="1"/>
    <col min="7423" max="7423" width="22.28515625" customWidth="1"/>
    <col min="7425" max="7425" width="10.140625" bestFit="1" customWidth="1"/>
    <col min="7426" max="7426" width="12.7109375" bestFit="1" customWidth="1"/>
    <col min="7427" max="7427" width="12.140625" bestFit="1" customWidth="1"/>
    <col min="7428" max="7428" width="24.42578125" bestFit="1" customWidth="1"/>
    <col min="7673" max="7673" width="30.42578125" bestFit="1" customWidth="1"/>
    <col min="7674" max="7674" width="12.140625" customWidth="1"/>
    <col min="7675" max="7675" width="29.140625" bestFit="1" customWidth="1"/>
    <col min="7676" max="7676" width="12.5703125" customWidth="1"/>
    <col min="7678" max="7678" width="24" customWidth="1"/>
    <col min="7679" max="7679" width="22.28515625" customWidth="1"/>
    <col min="7681" max="7681" width="10.140625" bestFit="1" customWidth="1"/>
    <col min="7682" max="7682" width="12.7109375" bestFit="1" customWidth="1"/>
    <col min="7683" max="7683" width="12.140625" bestFit="1" customWidth="1"/>
    <col min="7684" max="7684" width="24.42578125" bestFit="1" customWidth="1"/>
    <col min="7929" max="7929" width="30.42578125" bestFit="1" customWidth="1"/>
    <col min="7930" max="7930" width="12.140625" customWidth="1"/>
    <col min="7931" max="7931" width="29.140625" bestFit="1" customWidth="1"/>
    <col min="7932" max="7932" width="12.5703125" customWidth="1"/>
    <col min="7934" max="7934" width="24" customWidth="1"/>
    <col min="7935" max="7935" width="22.28515625" customWidth="1"/>
    <col min="7937" max="7937" width="10.140625" bestFit="1" customWidth="1"/>
    <col min="7938" max="7938" width="12.7109375" bestFit="1" customWidth="1"/>
    <col min="7939" max="7939" width="12.140625" bestFit="1" customWidth="1"/>
    <col min="7940" max="7940" width="24.42578125" bestFit="1" customWidth="1"/>
    <col min="8185" max="8185" width="30.42578125" bestFit="1" customWidth="1"/>
    <col min="8186" max="8186" width="12.140625" customWidth="1"/>
    <col min="8187" max="8187" width="29.140625" bestFit="1" customWidth="1"/>
    <col min="8188" max="8188" width="12.5703125" customWidth="1"/>
    <col min="8190" max="8190" width="24" customWidth="1"/>
    <col min="8191" max="8191" width="22.28515625" customWidth="1"/>
    <col min="8193" max="8193" width="10.140625" bestFit="1" customWidth="1"/>
    <col min="8194" max="8194" width="12.7109375" bestFit="1" customWidth="1"/>
    <col min="8195" max="8195" width="12.140625" bestFit="1" customWidth="1"/>
    <col min="8196" max="8196" width="24.42578125" bestFit="1" customWidth="1"/>
    <col min="8441" max="8441" width="30.42578125" bestFit="1" customWidth="1"/>
    <col min="8442" max="8442" width="12.140625" customWidth="1"/>
    <col min="8443" max="8443" width="29.140625" bestFit="1" customWidth="1"/>
    <col min="8444" max="8444" width="12.5703125" customWidth="1"/>
    <col min="8446" max="8446" width="24" customWidth="1"/>
    <col min="8447" max="8447" width="22.28515625" customWidth="1"/>
    <col min="8449" max="8449" width="10.140625" bestFit="1" customWidth="1"/>
    <col min="8450" max="8450" width="12.7109375" bestFit="1" customWidth="1"/>
    <col min="8451" max="8451" width="12.140625" bestFit="1" customWidth="1"/>
    <col min="8452" max="8452" width="24.42578125" bestFit="1" customWidth="1"/>
    <col min="8697" max="8697" width="30.42578125" bestFit="1" customWidth="1"/>
    <col min="8698" max="8698" width="12.140625" customWidth="1"/>
    <col min="8699" max="8699" width="29.140625" bestFit="1" customWidth="1"/>
    <col min="8700" max="8700" width="12.5703125" customWidth="1"/>
    <col min="8702" max="8702" width="24" customWidth="1"/>
    <col min="8703" max="8703" width="22.28515625" customWidth="1"/>
    <col min="8705" max="8705" width="10.140625" bestFit="1" customWidth="1"/>
    <col min="8706" max="8706" width="12.7109375" bestFit="1" customWidth="1"/>
    <col min="8707" max="8707" width="12.140625" bestFit="1" customWidth="1"/>
    <col min="8708" max="8708" width="24.42578125" bestFit="1" customWidth="1"/>
    <col min="8953" max="8953" width="30.42578125" bestFit="1" customWidth="1"/>
    <col min="8954" max="8954" width="12.140625" customWidth="1"/>
    <col min="8955" max="8955" width="29.140625" bestFit="1" customWidth="1"/>
    <col min="8956" max="8956" width="12.5703125" customWidth="1"/>
    <col min="8958" max="8958" width="24" customWidth="1"/>
    <col min="8959" max="8959" width="22.28515625" customWidth="1"/>
    <col min="8961" max="8961" width="10.140625" bestFit="1" customWidth="1"/>
    <col min="8962" max="8962" width="12.7109375" bestFit="1" customWidth="1"/>
    <col min="8963" max="8963" width="12.140625" bestFit="1" customWidth="1"/>
    <col min="8964" max="8964" width="24.42578125" bestFit="1" customWidth="1"/>
    <col min="9209" max="9209" width="30.42578125" bestFit="1" customWidth="1"/>
    <col min="9210" max="9210" width="12.140625" customWidth="1"/>
    <col min="9211" max="9211" width="29.140625" bestFit="1" customWidth="1"/>
    <col min="9212" max="9212" width="12.5703125" customWidth="1"/>
    <col min="9214" max="9214" width="24" customWidth="1"/>
    <col min="9215" max="9215" width="22.28515625" customWidth="1"/>
    <col min="9217" max="9217" width="10.140625" bestFit="1" customWidth="1"/>
    <col min="9218" max="9218" width="12.7109375" bestFit="1" customWidth="1"/>
    <col min="9219" max="9219" width="12.140625" bestFit="1" customWidth="1"/>
    <col min="9220" max="9220" width="24.42578125" bestFit="1" customWidth="1"/>
    <col min="9465" max="9465" width="30.42578125" bestFit="1" customWidth="1"/>
    <col min="9466" max="9466" width="12.140625" customWidth="1"/>
    <col min="9467" max="9467" width="29.140625" bestFit="1" customWidth="1"/>
    <col min="9468" max="9468" width="12.5703125" customWidth="1"/>
    <col min="9470" max="9470" width="24" customWidth="1"/>
    <col min="9471" max="9471" width="22.28515625" customWidth="1"/>
    <col min="9473" max="9473" width="10.140625" bestFit="1" customWidth="1"/>
    <col min="9474" max="9474" width="12.7109375" bestFit="1" customWidth="1"/>
    <col min="9475" max="9475" width="12.140625" bestFit="1" customWidth="1"/>
    <col min="9476" max="9476" width="24.42578125" bestFit="1" customWidth="1"/>
    <col min="9721" max="9721" width="30.42578125" bestFit="1" customWidth="1"/>
    <col min="9722" max="9722" width="12.140625" customWidth="1"/>
    <col min="9723" max="9723" width="29.140625" bestFit="1" customWidth="1"/>
    <col min="9724" max="9724" width="12.5703125" customWidth="1"/>
    <col min="9726" max="9726" width="24" customWidth="1"/>
    <col min="9727" max="9727" width="22.28515625" customWidth="1"/>
    <col min="9729" max="9729" width="10.140625" bestFit="1" customWidth="1"/>
    <col min="9730" max="9730" width="12.7109375" bestFit="1" customWidth="1"/>
    <col min="9731" max="9731" width="12.140625" bestFit="1" customWidth="1"/>
    <col min="9732" max="9732" width="24.42578125" bestFit="1" customWidth="1"/>
    <col min="9977" max="9977" width="30.42578125" bestFit="1" customWidth="1"/>
    <col min="9978" max="9978" width="12.140625" customWidth="1"/>
    <col min="9979" max="9979" width="29.140625" bestFit="1" customWidth="1"/>
    <col min="9980" max="9980" width="12.5703125" customWidth="1"/>
    <col min="9982" max="9982" width="24" customWidth="1"/>
    <col min="9983" max="9983" width="22.28515625" customWidth="1"/>
    <col min="9985" max="9985" width="10.140625" bestFit="1" customWidth="1"/>
    <col min="9986" max="9986" width="12.7109375" bestFit="1" customWidth="1"/>
    <col min="9987" max="9987" width="12.140625" bestFit="1" customWidth="1"/>
    <col min="9988" max="9988" width="24.42578125" bestFit="1" customWidth="1"/>
    <col min="10233" max="10233" width="30.42578125" bestFit="1" customWidth="1"/>
    <col min="10234" max="10234" width="12.140625" customWidth="1"/>
    <col min="10235" max="10235" width="29.140625" bestFit="1" customWidth="1"/>
    <col min="10236" max="10236" width="12.5703125" customWidth="1"/>
    <col min="10238" max="10238" width="24" customWidth="1"/>
    <col min="10239" max="10239" width="22.28515625" customWidth="1"/>
    <col min="10241" max="10241" width="10.140625" bestFit="1" customWidth="1"/>
    <col min="10242" max="10242" width="12.7109375" bestFit="1" customWidth="1"/>
    <col min="10243" max="10243" width="12.140625" bestFit="1" customWidth="1"/>
    <col min="10244" max="10244" width="24.42578125" bestFit="1" customWidth="1"/>
    <col min="10489" max="10489" width="30.42578125" bestFit="1" customWidth="1"/>
    <col min="10490" max="10490" width="12.140625" customWidth="1"/>
    <col min="10491" max="10491" width="29.140625" bestFit="1" customWidth="1"/>
    <col min="10492" max="10492" width="12.5703125" customWidth="1"/>
    <col min="10494" max="10494" width="24" customWidth="1"/>
    <col min="10495" max="10495" width="22.28515625" customWidth="1"/>
    <col min="10497" max="10497" width="10.140625" bestFit="1" customWidth="1"/>
    <col min="10498" max="10498" width="12.7109375" bestFit="1" customWidth="1"/>
    <col min="10499" max="10499" width="12.140625" bestFit="1" customWidth="1"/>
    <col min="10500" max="10500" width="24.42578125" bestFit="1" customWidth="1"/>
    <col min="10745" max="10745" width="30.42578125" bestFit="1" customWidth="1"/>
    <col min="10746" max="10746" width="12.140625" customWidth="1"/>
    <col min="10747" max="10747" width="29.140625" bestFit="1" customWidth="1"/>
    <col min="10748" max="10748" width="12.5703125" customWidth="1"/>
    <col min="10750" max="10750" width="24" customWidth="1"/>
    <col min="10751" max="10751" width="22.28515625" customWidth="1"/>
    <col min="10753" max="10753" width="10.140625" bestFit="1" customWidth="1"/>
    <col min="10754" max="10754" width="12.7109375" bestFit="1" customWidth="1"/>
    <col min="10755" max="10755" width="12.140625" bestFit="1" customWidth="1"/>
    <col min="10756" max="10756" width="24.42578125" bestFit="1" customWidth="1"/>
    <col min="11001" max="11001" width="30.42578125" bestFit="1" customWidth="1"/>
    <col min="11002" max="11002" width="12.140625" customWidth="1"/>
    <col min="11003" max="11003" width="29.140625" bestFit="1" customWidth="1"/>
    <col min="11004" max="11004" width="12.5703125" customWidth="1"/>
    <col min="11006" max="11006" width="24" customWidth="1"/>
    <col min="11007" max="11007" width="22.28515625" customWidth="1"/>
    <col min="11009" max="11009" width="10.140625" bestFit="1" customWidth="1"/>
    <col min="11010" max="11010" width="12.7109375" bestFit="1" customWidth="1"/>
    <col min="11011" max="11011" width="12.140625" bestFit="1" customWidth="1"/>
    <col min="11012" max="11012" width="24.42578125" bestFit="1" customWidth="1"/>
    <col min="11257" max="11257" width="30.42578125" bestFit="1" customWidth="1"/>
    <col min="11258" max="11258" width="12.140625" customWidth="1"/>
    <col min="11259" max="11259" width="29.140625" bestFit="1" customWidth="1"/>
    <col min="11260" max="11260" width="12.5703125" customWidth="1"/>
    <col min="11262" max="11262" width="24" customWidth="1"/>
    <col min="11263" max="11263" width="22.28515625" customWidth="1"/>
    <col min="11265" max="11265" width="10.140625" bestFit="1" customWidth="1"/>
    <col min="11266" max="11266" width="12.7109375" bestFit="1" customWidth="1"/>
    <col min="11267" max="11267" width="12.140625" bestFit="1" customWidth="1"/>
    <col min="11268" max="11268" width="24.42578125" bestFit="1" customWidth="1"/>
    <col min="11513" max="11513" width="30.42578125" bestFit="1" customWidth="1"/>
    <col min="11514" max="11514" width="12.140625" customWidth="1"/>
    <col min="11515" max="11515" width="29.140625" bestFit="1" customWidth="1"/>
    <col min="11516" max="11516" width="12.5703125" customWidth="1"/>
    <col min="11518" max="11518" width="24" customWidth="1"/>
    <col min="11519" max="11519" width="22.28515625" customWidth="1"/>
    <col min="11521" max="11521" width="10.140625" bestFit="1" customWidth="1"/>
    <col min="11522" max="11522" width="12.7109375" bestFit="1" customWidth="1"/>
    <col min="11523" max="11523" width="12.140625" bestFit="1" customWidth="1"/>
    <col min="11524" max="11524" width="24.42578125" bestFit="1" customWidth="1"/>
    <col min="11769" max="11769" width="30.42578125" bestFit="1" customWidth="1"/>
    <col min="11770" max="11770" width="12.140625" customWidth="1"/>
    <col min="11771" max="11771" width="29.140625" bestFit="1" customWidth="1"/>
    <col min="11772" max="11772" width="12.5703125" customWidth="1"/>
    <col min="11774" max="11774" width="24" customWidth="1"/>
    <col min="11775" max="11775" width="22.28515625" customWidth="1"/>
    <col min="11777" max="11777" width="10.140625" bestFit="1" customWidth="1"/>
    <col min="11778" max="11778" width="12.7109375" bestFit="1" customWidth="1"/>
    <col min="11779" max="11779" width="12.140625" bestFit="1" customWidth="1"/>
    <col min="11780" max="11780" width="24.42578125" bestFit="1" customWidth="1"/>
    <col min="12025" max="12025" width="30.42578125" bestFit="1" customWidth="1"/>
    <col min="12026" max="12026" width="12.140625" customWidth="1"/>
    <col min="12027" max="12027" width="29.140625" bestFit="1" customWidth="1"/>
    <col min="12028" max="12028" width="12.5703125" customWidth="1"/>
    <col min="12030" max="12030" width="24" customWidth="1"/>
    <col min="12031" max="12031" width="22.28515625" customWidth="1"/>
    <col min="12033" max="12033" width="10.140625" bestFit="1" customWidth="1"/>
    <col min="12034" max="12034" width="12.7109375" bestFit="1" customWidth="1"/>
    <col min="12035" max="12035" width="12.140625" bestFit="1" customWidth="1"/>
    <col min="12036" max="12036" width="24.42578125" bestFit="1" customWidth="1"/>
    <col min="12281" max="12281" width="30.42578125" bestFit="1" customWidth="1"/>
    <col min="12282" max="12282" width="12.140625" customWidth="1"/>
    <col min="12283" max="12283" width="29.140625" bestFit="1" customWidth="1"/>
    <col min="12284" max="12284" width="12.5703125" customWidth="1"/>
    <col min="12286" max="12286" width="24" customWidth="1"/>
    <col min="12287" max="12287" width="22.28515625" customWidth="1"/>
    <col min="12289" max="12289" width="10.140625" bestFit="1" customWidth="1"/>
    <col min="12290" max="12290" width="12.7109375" bestFit="1" customWidth="1"/>
    <col min="12291" max="12291" width="12.140625" bestFit="1" customWidth="1"/>
    <col min="12292" max="12292" width="24.42578125" bestFit="1" customWidth="1"/>
    <col min="12537" max="12537" width="30.42578125" bestFit="1" customWidth="1"/>
    <col min="12538" max="12538" width="12.140625" customWidth="1"/>
    <col min="12539" max="12539" width="29.140625" bestFit="1" customWidth="1"/>
    <col min="12540" max="12540" width="12.5703125" customWidth="1"/>
    <col min="12542" max="12542" width="24" customWidth="1"/>
    <col min="12543" max="12543" width="22.28515625" customWidth="1"/>
    <col min="12545" max="12545" width="10.140625" bestFit="1" customWidth="1"/>
    <col min="12546" max="12546" width="12.7109375" bestFit="1" customWidth="1"/>
    <col min="12547" max="12547" width="12.140625" bestFit="1" customWidth="1"/>
    <col min="12548" max="12548" width="24.42578125" bestFit="1" customWidth="1"/>
    <col min="12793" max="12793" width="30.42578125" bestFit="1" customWidth="1"/>
    <col min="12794" max="12794" width="12.140625" customWidth="1"/>
    <col min="12795" max="12795" width="29.140625" bestFit="1" customWidth="1"/>
    <col min="12796" max="12796" width="12.5703125" customWidth="1"/>
    <col min="12798" max="12798" width="24" customWidth="1"/>
    <col min="12799" max="12799" width="22.28515625" customWidth="1"/>
    <col min="12801" max="12801" width="10.140625" bestFit="1" customWidth="1"/>
    <col min="12802" max="12802" width="12.7109375" bestFit="1" customWidth="1"/>
    <col min="12803" max="12803" width="12.140625" bestFit="1" customWidth="1"/>
    <col min="12804" max="12804" width="24.42578125" bestFit="1" customWidth="1"/>
    <col min="13049" max="13049" width="30.42578125" bestFit="1" customWidth="1"/>
    <col min="13050" max="13050" width="12.140625" customWidth="1"/>
    <col min="13051" max="13051" width="29.140625" bestFit="1" customWidth="1"/>
    <col min="13052" max="13052" width="12.5703125" customWidth="1"/>
    <col min="13054" max="13054" width="24" customWidth="1"/>
    <col min="13055" max="13055" width="22.28515625" customWidth="1"/>
    <col min="13057" max="13057" width="10.140625" bestFit="1" customWidth="1"/>
    <col min="13058" max="13058" width="12.7109375" bestFit="1" customWidth="1"/>
    <col min="13059" max="13059" width="12.140625" bestFit="1" customWidth="1"/>
    <col min="13060" max="13060" width="24.42578125" bestFit="1" customWidth="1"/>
    <col min="13305" max="13305" width="30.42578125" bestFit="1" customWidth="1"/>
    <col min="13306" max="13306" width="12.140625" customWidth="1"/>
    <col min="13307" max="13307" width="29.140625" bestFit="1" customWidth="1"/>
    <col min="13308" max="13308" width="12.5703125" customWidth="1"/>
    <col min="13310" max="13310" width="24" customWidth="1"/>
    <col min="13311" max="13311" width="22.28515625" customWidth="1"/>
    <col min="13313" max="13313" width="10.140625" bestFit="1" customWidth="1"/>
    <col min="13314" max="13314" width="12.7109375" bestFit="1" customWidth="1"/>
    <col min="13315" max="13315" width="12.140625" bestFit="1" customWidth="1"/>
    <col min="13316" max="13316" width="24.42578125" bestFit="1" customWidth="1"/>
    <col min="13561" max="13561" width="30.42578125" bestFit="1" customWidth="1"/>
    <col min="13562" max="13562" width="12.140625" customWidth="1"/>
    <col min="13563" max="13563" width="29.140625" bestFit="1" customWidth="1"/>
    <col min="13564" max="13564" width="12.5703125" customWidth="1"/>
    <col min="13566" max="13566" width="24" customWidth="1"/>
    <col min="13567" max="13567" width="22.28515625" customWidth="1"/>
    <col min="13569" max="13569" width="10.140625" bestFit="1" customWidth="1"/>
    <col min="13570" max="13570" width="12.7109375" bestFit="1" customWidth="1"/>
    <col min="13571" max="13571" width="12.140625" bestFit="1" customWidth="1"/>
    <col min="13572" max="13572" width="24.42578125" bestFit="1" customWidth="1"/>
    <col min="13817" max="13817" width="30.42578125" bestFit="1" customWidth="1"/>
    <col min="13818" max="13818" width="12.140625" customWidth="1"/>
    <col min="13819" max="13819" width="29.140625" bestFit="1" customWidth="1"/>
    <col min="13820" max="13820" width="12.5703125" customWidth="1"/>
    <col min="13822" max="13822" width="24" customWidth="1"/>
    <col min="13823" max="13823" width="22.28515625" customWidth="1"/>
    <col min="13825" max="13825" width="10.140625" bestFit="1" customWidth="1"/>
    <col min="13826" max="13826" width="12.7109375" bestFit="1" customWidth="1"/>
    <col min="13827" max="13827" width="12.140625" bestFit="1" customWidth="1"/>
    <col min="13828" max="13828" width="24.42578125" bestFit="1" customWidth="1"/>
    <col min="14073" max="14073" width="30.42578125" bestFit="1" customWidth="1"/>
    <col min="14074" max="14074" width="12.140625" customWidth="1"/>
    <col min="14075" max="14075" width="29.140625" bestFit="1" customWidth="1"/>
    <col min="14076" max="14076" width="12.5703125" customWidth="1"/>
    <col min="14078" max="14078" width="24" customWidth="1"/>
    <col min="14079" max="14079" width="22.28515625" customWidth="1"/>
    <col min="14081" max="14081" width="10.140625" bestFit="1" customWidth="1"/>
    <col min="14082" max="14082" width="12.7109375" bestFit="1" customWidth="1"/>
    <col min="14083" max="14083" width="12.140625" bestFit="1" customWidth="1"/>
    <col min="14084" max="14084" width="24.42578125" bestFit="1" customWidth="1"/>
    <col min="14329" max="14329" width="30.42578125" bestFit="1" customWidth="1"/>
    <col min="14330" max="14330" width="12.140625" customWidth="1"/>
    <col min="14331" max="14331" width="29.140625" bestFit="1" customWidth="1"/>
    <col min="14332" max="14332" width="12.5703125" customWidth="1"/>
    <col min="14334" max="14334" width="24" customWidth="1"/>
    <col min="14335" max="14335" width="22.28515625" customWidth="1"/>
    <col min="14337" max="14337" width="10.140625" bestFit="1" customWidth="1"/>
    <col min="14338" max="14338" width="12.7109375" bestFit="1" customWidth="1"/>
    <col min="14339" max="14339" width="12.140625" bestFit="1" customWidth="1"/>
    <col min="14340" max="14340" width="24.42578125" bestFit="1" customWidth="1"/>
    <col min="14585" max="14585" width="30.42578125" bestFit="1" customWidth="1"/>
    <col min="14586" max="14586" width="12.140625" customWidth="1"/>
    <col min="14587" max="14587" width="29.140625" bestFit="1" customWidth="1"/>
    <col min="14588" max="14588" width="12.5703125" customWidth="1"/>
    <col min="14590" max="14590" width="24" customWidth="1"/>
    <col min="14591" max="14591" width="22.28515625" customWidth="1"/>
    <col min="14593" max="14593" width="10.140625" bestFit="1" customWidth="1"/>
    <col min="14594" max="14594" width="12.7109375" bestFit="1" customWidth="1"/>
    <col min="14595" max="14595" width="12.140625" bestFit="1" customWidth="1"/>
    <col min="14596" max="14596" width="24.42578125" bestFit="1" customWidth="1"/>
    <col min="14841" max="14841" width="30.42578125" bestFit="1" customWidth="1"/>
    <col min="14842" max="14842" width="12.140625" customWidth="1"/>
    <col min="14843" max="14843" width="29.140625" bestFit="1" customWidth="1"/>
    <col min="14844" max="14844" width="12.5703125" customWidth="1"/>
    <col min="14846" max="14846" width="24" customWidth="1"/>
    <col min="14847" max="14847" width="22.28515625" customWidth="1"/>
    <col min="14849" max="14849" width="10.140625" bestFit="1" customWidth="1"/>
    <col min="14850" max="14850" width="12.7109375" bestFit="1" customWidth="1"/>
    <col min="14851" max="14851" width="12.140625" bestFit="1" customWidth="1"/>
    <col min="14852" max="14852" width="24.42578125" bestFit="1" customWidth="1"/>
    <col min="15097" max="15097" width="30.42578125" bestFit="1" customWidth="1"/>
    <col min="15098" max="15098" width="12.140625" customWidth="1"/>
    <col min="15099" max="15099" width="29.140625" bestFit="1" customWidth="1"/>
    <col min="15100" max="15100" width="12.5703125" customWidth="1"/>
    <col min="15102" max="15102" width="24" customWidth="1"/>
    <col min="15103" max="15103" width="22.28515625" customWidth="1"/>
    <col min="15105" max="15105" width="10.140625" bestFit="1" customWidth="1"/>
    <col min="15106" max="15106" width="12.7109375" bestFit="1" customWidth="1"/>
    <col min="15107" max="15107" width="12.140625" bestFit="1" customWidth="1"/>
    <col min="15108" max="15108" width="24.42578125" bestFit="1" customWidth="1"/>
    <col min="15353" max="15353" width="30.42578125" bestFit="1" customWidth="1"/>
    <col min="15354" max="15354" width="12.140625" customWidth="1"/>
    <col min="15355" max="15355" width="29.140625" bestFit="1" customWidth="1"/>
    <col min="15356" max="15356" width="12.5703125" customWidth="1"/>
    <col min="15358" max="15358" width="24" customWidth="1"/>
    <col min="15359" max="15359" width="22.28515625" customWidth="1"/>
    <col min="15361" max="15361" width="10.140625" bestFit="1" customWidth="1"/>
    <col min="15362" max="15362" width="12.7109375" bestFit="1" customWidth="1"/>
    <col min="15363" max="15363" width="12.140625" bestFit="1" customWidth="1"/>
    <col min="15364" max="15364" width="24.42578125" bestFit="1" customWidth="1"/>
    <col min="15609" max="15609" width="30.42578125" bestFit="1" customWidth="1"/>
    <col min="15610" max="15610" width="12.140625" customWidth="1"/>
    <col min="15611" max="15611" width="29.140625" bestFit="1" customWidth="1"/>
    <col min="15612" max="15612" width="12.5703125" customWidth="1"/>
    <col min="15614" max="15614" width="24" customWidth="1"/>
    <col min="15615" max="15615" width="22.28515625" customWidth="1"/>
    <col min="15617" max="15617" width="10.140625" bestFit="1" customWidth="1"/>
    <col min="15618" max="15618" width="12.7109375" bestFit="1" customWidth="1"/>
    <col min="15619" max="15619" width="12.140625" bestFit="1" customWidth="1"/>
    <col min="15620" max="15620" width="24.42578125" bestFit="1" customWidth="1"/>
    <col min="15865" max="15865" width="30.42578125" bestFit="1" customWidth="1"/>
    <col min="15866" max="15866" width="12.140625" customWidth="1"/>
    <col min="15867" max="15867" width="29.140625" bestFit="1" customWidth="1"/>
    <col min="15868" max="15868" width="12.5703125" customWidth="1"/>
    <col min="15870" max="15870" width="24" customWidth="1"/>
    <col min="15871" max="15871" width="22.28515625" customWidth="1"/>
    <col min="15873" max="15873" width="10.140625" bestFit="1" customWidth="1"/>
    <col min="15874" max="15874" width="12.7109375" bestFit="1" customWidth="1"/>
    <col min="15875" max="15875" width="12.140625" bestFit="1" customWidth="1"/>
    <col min="15876" max="15876" width="24.42578125" bestFit="1" customWidth="1"/>
    <col min="16121" max="16121" width="30.42578125" bestFit="1" customWidth="1"/>
    <col min="16122" max="16122" width="12.140625" customWidth="1"/>
    <col min="16123" max="16123" width="29.140625" bestFit="1" customWidth="1"/>
    <col min="16124" max="16124" width="12.5703125" customWidth="1"/>
    <col min="16126" max="16126" width="24" customWidth="1"/>
    <col min="16127" max="16127" width="22.28515625" customWidth="1"/>
    <col min="16129" max="16129" width="10.140625" bestFit="1" customWidth="1"/>
    <col min="16130" max="16130" width="12.7109375" bestFit="1" customWidth="1"/>
    <col min="16131" max="16131" width="12.140625" bestFit="1" customWidth="1"/>
    <col min="16132" max="16132" width="24.42578125" bestFit="1" customWidth="1"/>
  </cols>
  <sheetData>
    <row r="1" spans="1:26" ht="15.75" customHeight="1" thickBot="1" x14ac:dyDescent="0.3">
      <c r="B1" s="123">
        <v>42005</v>
      </c>
      <c r="C1" s="123"/>
      <c r="D1" s="7"/>
      <c r="E1" s="124" t="s">
        <v>8</v>
      </c>
      <c r="F1" s="125"/>
      <c r="G1" s="125"/>
      <c r="H1" s="126"/>
      <c r="I1" s="127"/>
      <c r="J1" s="3">
        <v>30</v>
      </c>
      <c r="K1" s="3">
        <v>30</v>
      </c>
      <c r="L1" s="3">
        <v>30</v>
      </c>
      <c r="M1" s="3">
        <v>35</v>
      </c>
      <c r="N1" s="3">
        <v>30</v>
      </c>
      <c r="O1" s="3">
        <v>25</v>
      </c>
      <c r="P1" s="3">
        <v>25</v>
      </c>
      <c r="Q1" s="3">
        <v>30</v>
      </c>
      <c r="R1" s="3">
        <v>35</v>
      </c>
      <c r="S1" s="3">
        <v>35</v>
      </c>
      <c r="T1" s="3">
        <v>30</v>
      </c>
      <c r="U1" s="3">
        <v>35</v>
      </c>
      <c r="V1" s="3">
        <v>35</v>
      </c>
      <c r="W1" s="3">
        <v>30</v>
      </c>
      <c r="X1" s="3">
        <v>30</v>
      </c>
      <c r="Y1" s="129" t="s">
        <v>25</v>
      </c>
      <c r="Z1" s="25">
        <f ca="1">TODAY()</f>
        <v>45273</v>
      </c>
    </row>
    <row r="2" spans="1:26" ht="30" customHeight="1" x14ac:dyDescent="0.25">
      <c r="B2" s="131" t="s">
        <v>1</v>
      </c>
      <c r="C2" s="132"/>
      <c r="E2" s="35" t="s">
        <v>12</v>
      </c>
      <c r="F2" s="36" t="s">
        <v>9</v>
      </c>
      <c r="G2" s="36" t="s">
        <v>10</v>
      </c>
      <c r="H2" s="4" t="s">
        <v>11</v>
      </c>
      <c r="I2" s="128"/>
      <c r="J2" s="23" t="s">
        <v>22</v>
      </c>
      <c r="K2" s="23" t="s">
        <v>5</v>
      </c>
      <c r="L2" s="23" t="s">
        <v>13</v>
      </c>
      <c r="M2" s="23" t="s">
        <v>14</v>
      </c>
      <c r="N2" s="23" t="s">
        <v>15</v>
      </c>
      <c r="O2" s="23" t="s">
        <v>56</v>
      </c>
      <c r="P2" s="23" t="s">
        <v>55</v>
      </c>
      <c r="Q2" s="23" t="s">
        <v>23</v>
      </c>
      <c r="R2" s="23" t="s">
        <v>57</v>
      </c>
      <c r="S2" s="23" t="s">
        <v>26</v>
      </c>
      <c r="T2" s="23" t="s">
        <v>19</v>
      </c>
      <c r="U2" s="23" t="s">
        <v>20</v>
      </c>
      <c r="V2" s="23" t="s">
        <v>21</v>
      </c>
      <c r="W2" s="23" t="s">
        <v>36</v>
      </c>
      <c r="X2" s="23" t="s">
        <v>41</v>
      </c>
      <c r="Y2" s="130"/>
    </row>
    <row r="3" spans="1:26" ht="15.75" thickBot="1" x14ac:dyDescent="0.3">
      <c r="B3" s="49" t="s">
        <v>0</v>
      </c>
      <c r="C3" s="50" t="s">
        <v>2</v>
      </c>
      <c r="E3" s="32">
        <f>B1</f>
        <v>42005</v>
      </c>
      <c r="F3" s="71"/>
      <c r="G3" s="71"/>
      <c r="H3" s="72"/>
      <c r="I3" s="31">
        <f>E3</f>
        <v>42005</v>
      </c>
      <c r="J3" s="37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9"/>
      <c r="Y3" s="61">
        <f>SUM(J3:X3)</f>
        <v>0</v>
      </c>
    </row>
    <row r="4" spans="1:26" ht="15.75" thickBot="1" x14ac:dyDescent="0.3">
      <c r="B4" s="14" t="s">
        <v>3</v>
      </c>
      <c r="C4" s="15">
        <f>F34</f>
        <v>34200</v>
      </c>
      <c r="E4" s="32">
        <f>E3+1</f>
        <v>42006</v>
      </c>
      <c r="F4" s="71"/>
      <c r="G4" s="71"/>
      <c r="H4" s="72"/>
      <c r="I4" s="31">
        <f t="shared" ref="I4:I33" si="0">E4</f>
        <v>42006</v>
      </c>
      <c r="J4" s="40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2"/>
      <c r="Y4" s="62">
        <f>SUM(J4:X4)</f>
        <v>0</v>
      </c>
    </row>
    <row r="5" spans="1:26" ht="15" customHeight="1" thickBot="1" x14ac:dyDescent="0.3">
      <c r="A5" s="51"/>
      <c r="E5" s="32">
        <f t="shared" ref="E5:E33" si="1">E4+1</f>
        <v>42007</v>
      </c>
      <c r="F5" s="71"/>
      <c r="G5" s="71"/>
      <c r="H5" s="72"/>
      <c r="I5" s="31">
        <f t="shared" si="0"/>
        <v>42007</v>
      </c>
      <c r="J5" s="40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2"/>
      <c r="Y5" s="62">
        <f t="shared" ref="Y5:Y33" si="2">SUM(J5:X5)</f>
        <v>0</v>
      </c>
    </row>
    <row r="6" spans="1:26" ht="15" customHeight="1" x14ac:dyDescent="0.25">
      <c r="A6" s="139" t="s">
        <v>42</v>
      </c>
      <c r="B6" s="76" t="s">
        <v>7</v>
      </c>
      <c r="C6" s="11">
        <v>4000</v>
      </c>
      <c r="E6" s="32">
        <f t="shared" si="1"/>
        <v>42008</v>
      </c>
      <c r="F6" s="71"/>
      <c r="G6" s="71"/>
      <c r="H6" s="72"/>
      <c r="I6" s="31">
        <f t="shared" si="0"/>
        <v>42008</v>
      </c>
      <c r="J6" s="40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2"/>
      <c r="Y6" s="62">
        <f t="shared" si="2"/>
        <v>0</v>
      </c>
    </row>
    <row r="7" spans="1:26" x14ac:dyDescent="0.25">
      <c r="A7" s="140"/>
      <c r="B7" s="77" t="s">
        <v>43</v>
      </c>
      <c r="C7" s="12">
        <v>40</v>
      </c>
      <c r="E7" s="32">
        <f t="shared" si="1"/>
        <v>42009</v>
      </c>
      <c r="F7" s="71"/>
      <c r="G7" s="71"/>
      <c r="H7" s="72"/>
      <c r="I7" s="31">
        <f t="shared" si="0"/>
        <v>42009</v>
      </c>
      <c r="J7" s="40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2"/>
      <c r="Y7" s="62">
        <f t="shared" si="2"/>
        <v>0</v>
      </c>
    </row>
    <row r="8" spans="1:26" x14ac:dyDescent="0.25">
      <c r="A8" s="140"/>
      <c r="B8" s="77" t="s">
        <v>4</v>
      </c>
      <c r="C8" s="13">
        <f>CEILING(INDEX('[1]Кредит Сатурн'!$C:$C,MATCH(B1,'[1]Кредит Сатурн'!$A:$A,0)),100)</f>
        <v>5000</v>
      </c>
      <c r="E8" s="32">
        <f t="shared" si="1"/>
        <v>42010</v>
      </c>
      <c r="F8" s="71"/>
      <c r="G8" s="71"/>
      <c r="H8" s="72"/>
      <c r="I8" s="31">
        <f t="shared" si="0"/>
        <v>42010</v>
      </c>
      <c r="J8" s="40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2"/>
      <c r="Y8" s="62">
        <f t="shared" si="2"/>
        <v>0</v>
      </c>
    </row>
    <row r="9" spans="1:26" x14ac:dyDescent="0.25">
      <c r="A9" s="140"/>
      <c r="B9" s="77" t="s">
        <v>27</v>
      </c>
      <c r="C9" s="12">
        <f>'[2]Расход ингредиентов'!$D$23</f>
        <v>6500</v>
      </c>
      <c r="E9" s="32">
        <f t="shared" si="1"/>
        <v>42011</v>
      </c>
      <c r="F9" s="71"/>
      <c r="G9" s="71">
        <v>130</v>
      </c>
      <c r="H9" s="72" t="s">
        <v>75</v>
      </c>
      <c r="I9" s="31">
        <f t="shared" si="0"/>
        <v>42011</v>
      </c>
      <c r="J9" s="40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2"/>
      <c r="Y9" s="62">
        <f t="shared" si="2"/>
        <v>0</v>
      </c>
    </row>
    <row r="10" spans="1:26" x14ac:dyDescent="0.25">
      <c r="A10" s="140"/>
      <c r="B10" s="77" t="s">
        <v>44</v>
      </c>
      <c r="C10" s="12">
        <v>0</v>
      </c>
      <c r="E10" s="32">
        <f t="shared" si="1"/>
        <v>42012</v>
      </c>
      <c r="F10" s="71"/>
      <c r="G10" s="71">
        <v>490</v>
      </c>
      <c r="H10" s="72" t="s">
        <v>74</v>
      </c>
      <c r="I10" s="31">
        <f t="shared" si="0"/>
        <v>42012</v>
      </c>
      <c r="J10" s="40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2"/>
      <c r="Y10" s="62">
        <f t="shared" si="2"/>
        <v>0</v>
      </c>
    </row>
    <row r="11" spans="1:26" x14ac:dyDescent="0.25">
      <c r="A11" s="140"/>
      <c r="B11" s="77" t="s">
        <v>38</v>
      </c>
      <c r="C11" s="12">
        <f>G11+G17</f>
        <v>980</v>
      </c>
      <c r="E11" s="32">
        <f t="shared" si="1"/>
        <v>42013</v>
      </c>
      <c r="F11" s="71">
        <v>11480</v>
      </c>
      <c r="G11" s="71">
        <f>590</f>
        <v>590</v>
      </c>
      <c r="H11" s="72" t="s">
        <v>73</v>
      </c>
      <c r="I11" s="31">
        <f t="shared" si="0"/>
        <v>42013</v>
      </c>
      <c r="J11" s="40">
        <v>14</v>
      </c>
      <c r="K11" s="41">
        <v>11</v>
      </c>
      <c r="L11" s="41">
        <v>13</v>
      </c>
      <c r="M11" s="41">
        <v>37</v>
      </c>
      <c r="N11" s="41">
        <v>36</v>
      </c>
      <c r="O11" s="41">
        <v>21</v>
      </c>
      <c r="P11" s="41">
        <v>6</v>
      </c>
      <c r="Q11" s="41">
        <v>89</v>
      </c>
      <c r="R11" s="41">
        <v>9</v>
      </c>
      <c r="S11" s="41">
        <v>16</v>
      </c>
      <c r="T11" s="41">
        <v>29</v>
      </c>
      <c r="U11" s="41">
        <v>26</v>
      </c>
      <c r="V11" s="41">
        <v>35</v>
      </c>
      <c r="W11" s="41">
        <v>27</v>
      </c>
      <c r="X11" s="42">
        <v>18</v>
      </c>
      <c r="Y11" s="62">
        <f t="shared" si="2"/>
        <v>387</v>
      </c>
    </row>
    <row r="12" spans="1:26" x14ac:dyDescent="0.25">
      <c r="A12" s="140"/>
      <c r="B12" s="77" t="s">
        <v>39</v>
      </c>
      <c r="C12" s="12">
        <v>0</v>
      </c>
      <c r="E12" s="32">
        <f t="shared" si="1"/>
        <v>42014</v>
      </c>
      <c r="F12" s="71"/>
      <c r="G12" s="71">
        <v>500</v>
      </c>
      <c r="H12" s="72" t="s">
        <v>77</v>
      </c>
      <c r="I12" s="31">
        <f t="shared" si="0"/>
        <v>42014</v>
      </c>
      <c r="J12" s="40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2"/>
      <c r="Y12" s="62">
        <f t="shared" si="2"/>
        <v>0</v>
      </c>
    </row>
    <row r="13" spans="1:26" x14ac:dyDescent="0.25">
      <c r="A13" s="140"/>
      <c r="B13" s="77" t="s">
        <v>31</v>
      </c>
      <c r="C13" s="18">
        <v>2200</v>
      </c>
      <c r="E13" s="32">
        <f t="shared" si="1"/>
        <v>42015</v>
      </c>
      <c r="F13" s="71"/>
      <c r="G13" s="71"/>
      <c r="H13" s="72" t="s">
        <v>77</v>
      </c>
      <c r="I13" s="31">
        <f t="shared" si="0"/>
        <v>42015</v>
      </c>
      <c r="J13" s="40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2"/>
      <c r="Y13" s="62">
        <f t="shared" si="2"/>
        <v>0</v>
      </c>
    </row>
    <row r="14" spans="1:26" x14ac:dyDescent="0.25">
      <c r="A14" s="140"/>
      <c r="B14" s="77" t="s">
        <v>46</v>
      </c>
      <c r="C14" s="18">
        <v>500</v>
      </c>
      <c r="E14" s="32">
        <f t="shared" si="1"/>
        <v>42016</v>
      </c>
      <c r="F14" s="71"/>
      <c r="G14" s="71"/>
      <c r="H14" s="72"/>
      <c r="I14" s="31">
        <f t="shared" si="0"/>
        <v>42016</v>
      </c>
      <c r="J14" s="40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2"/>
      <c r="Y14" s="62">
        <f t="shared" si="2"/>
        <v>0</v>
      </c>
    </row>
    <row r="15" spans="1:26" x14ac:dyDescent="0.25">
      <c r="A15" s="140"/>
      <c r="B15" s="77" t="s">
        <v>45</v>
      </c>
      <c r="C15" s="12">
        <f>G10+G9+G12+G19+G26</f>
        <v>1825</v>
      </c>
      <c r="E15" s="32">
        <f t="shared" si="1"/>
        <v>42017</v>
      </c>
      <c r="F15" s="71"/>
      <c r="G15" s="71"/>
      <c r="H15" s="72"/>
      <c r="I15" s="31">
        <f t="shared" si="0"/>
        <v>42017</v>
      </c>
      <c r="J15" s="40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62">
        <f t="shared" si="2"/>
        <v>0</v>
      </c>
    </row>
    <row r="16" spans="1:26" ht="15.75" thickBot="1" x14ac:dyDescent="0.3">
      <c r="A16" s="141"/>
      <c r="B16" s="78" t="s">
        <v>47</v>
      </c>
      <c r="C16" s="53">
        <f>SUM(C6:C15)</f>
        <v>21045</v>
      </c>
      <c r="E16" s="32">
        <f t="shared" si="1"/>
        <v>42018</v>
      </c>
      <c r="F16" s="71"/>
      <c r="G16" s="71">
        <v>5000</v>
      </c>
      <c r="H16" s="72" t="s">
        <v>79</v>
      </c>
      <c r="I16" s="31">
        <f t="shared" si="0"/>
        <v>42018</v>
      </c>
      <c r="J16" s="40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2"/>
      <c r="Y16" s="62">
        <f t="shared" si="2"/>
        <v>0</v>
      </c>
    </row>
    <row r="17" spans="1:25" ht="15.75" thickBot="1" x14ac:dyDescent="0.3">
      <c r="E17" s="32">
        <f t="shared" si="1"/>
        <v>42019</v>
      </c>
      <c r="F17" s="71">
        <v>5020</v>
      </c>
      <c r="G17" s="71">
        <f>390</f>
        <v>390</v>
      </c>
      <c r="H17" s="72" t="s">
        <v>73</v>
      </c>
      <c r="I17" s="31">
        <f t="shared" si="0"/>
        <v>42019</v>
      </c>
      <c r="J17" s="40">
        <v>4</v>
      </c>
      <c r="K17" s="41">
        <v>11</v>
      </c>
      <c r="L17" s="41">
        <v>4</v>
      </c>
      <c r="M17" s="41">
        <v>22</v>
      </c>
      <c r="N17" s="41">
        <v>16</v>
      </c>
      <c r="O17" s="41">
        <v>11</v>
      </c>
      <c r="P17" s="41">
        <v>3</v>
      </c>
      <c r="Q17" s="41">
        <v>50</v>
      </c>
      <c r="R17" s="41">
        <v>7</v>
      </c>
      <c r="S17" s="41">
        <v>4</v>
      </c>
      <c r="T17" s="41">
        <v>10</v>
      </c>
      <c r="U17" s="41">
        <v>13</v>
      </c>
      <c r="V17" s="41">
        <v>14</v>
      </c>
      <c r="W17" s="41">
        <v>13</v>
      </c>
      <c r="X17" s="42">
        <v>6</v>
      </c>
      <c r="Y17" s="62">
        <f t="shared" si="2"/>
        <v>188</v>
      </c>
    </row>
    <row r="18" spans="1:25" ht="15.75" thickBot="1" x14ac:dyDescent="0.3">
      <c r="B18" s="16" t="s">
        <v>32</v>
      </c>
      <c r="C18" s="17">
        <f>C4-C16</f>
        <v>13155</v>
      </c>
      <c r="E18" s="32">
        <f t="shared" si="1"/>
        <v>42020</v>
      </c>
      <c r="F18" s="71"/>
      <c r="G18" s="71"/>
      <c r="H18" s="72"/>
      <c r="I18" s="31">
        <f t="shared" si="0"/>
        <v>42020</v>
      </c>
      <c r="J18" s="40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2"/>
      <c r="Y18" s="62">
        <f t="shared" si="2"/>
        <v>0</v>
      </c>
    </row>
    <row r="19" spans="1:25" ht="15.75" thickBot="1" x14ac:dyDescent="0.3">
      <c r="E19" s="32">
        <f t="shared" si="1"/>
        <v>42021</v>
      </c>
      <c r="F19" s="71"/>
      <c r="G19" s="71">
        <v>300</v>
      </c>
      <c r="H19" s="72" t="s">
        <v>78</v>
      </c>
      <c r="I19" s="31">
        <f t="shared" si="0"/>
        <v>42021</v>
      </c>
      <c r="J19" s="40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2"/>
      <c r="Y19" s="62">
        <f t="shared" si="2"/>
        <v>0</v>
      </c>
    </row>
    <row r="20" spans="1:25" ht="15.75" thickBot="1" x14ac:dyDescent="0.3">
      <c r="B20" s="16" t="s">
        <v>48</v>
      </c>
      <c r="C20" s="17">
        <f>CEILING(C6+C8,100)</f>
        <v>9000</v>
      </c>
      <c r="E20" s="32">
        <f t="shared" si="1"/>
        <v>42022</v>
      </c>
      <c r="F20" s="71">
        <f>520+80+120+520</f>
        <v>1240</v>
      </c>
      <c r="G20" s="71"/>
      <c r="H20" s="72" t="s">
        <v>76</v>
      </c>
      <c r="I20" s="31">
        <f t="shared" si="0"/>
        <v>42022</v>
      </c>
      <c r="J20" s="40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2"/>
      <c r="Y20" s="62">
        <f t="shared" si="2"/>
        <v>0</v>
      </c>
    </row>
    <row r="21" spans="1:25" ht="15.75" thickBot="1" x14ac:dyDescent="0.3">
      <c r="E21" s="32">
        <f>E20+1</f>
        <v>42023</v>
      </c>
      <c r="F21" s="71"/>
      <c r="G21" s="71"/>
      <c r="H21" s="72"/>
      <c r="I21" s="31">
        <f t="shared" si="0"/>
        <v>42023</v>
      </c>
      <c r="J21" s="40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2"/>
      <c r="Y21" s="62">
        <f t="shared" si="2"/>
        <v>0</v>
      </c>
    </row>
    <row r="22" spans="1:25" ht="15.75" thickBot="1" x14ac:dyDescent="0.3">
      <c r="B22" s="52" t="s">
        <v>53</v>
      </c>
      <c r="C22" s="63">
        <f>C18</f>
        <v>13155</v>
      </c>
      <c r="E22" s="32">
        <f t="shared" si="1"/>
        <v>42024</v>
      </c>
      <c r="F22" s="71"/>
      <c r="G22" s="71"/>
      <c r="H22" s="72"/>
      <c r="I22" s="31">
        <f t="shared" si="0"/>
        <v>42024</v>
      </c>
      <c r="J22" s="40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2"/>
      <c r="Y22" s="62">
        <f t="shared" si="2"/>
        <v>0</v>
      </c>
    </row>
    <row r="23" spans="1:25" ht="15" customHeight="1" x14ac:dyDescent="0.25">
      <c r="A23" s="133" t="s">
        <v>49</v>
      </c>
      <c r="B23" s="58" t="s">
        <v>50</v>
      </c>
      <c r="C23" s="59">
        <v>0</v>
      </c>
      <c r="E23" s="32">
        <f t="shared" si="1"/>
        <v>42025</v>
      </c>
      <c r="F23" s="71"/>
      <c r="G23" s="71"/>
      <c r="H23" s="72"/>
      <c r="I23" s="31">
        <f t="shared" si="0"/>
        <v>42025</v>
      </c>
      <c r="J23" s="40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2"/>
      <c r="Y23" s="62">
        <f t="shared" si="2"/>
        <v>0</v>
      </c>
    </row>
    <row r="24" spans="1:25" x14ac:dyDescent="0.25">
      <c r="A24" s="134"/>
      <c r="B24" s="54" t="s">
        <v>40</v>
      </c>
      <c r="C24" s="55">
        <v>0</v>
      </c>
      <c r="E24" s="32">
        <f t="shared" si="1"/>
        <v>42026</v>
      </c>
      <c r="F24" s="71">
        <v>5720</v>
      </c>
      <c r="G24" s="71"/>
      <c r="H24" s="72" t="s">
        <v>3</v>
      </c>
      <c r="I24" s="31">
        <f t="shared" si="0"/>
        <v>42026</v>
      </c>
      <c r="J24" s="40">
        <v>4</v>
      </c>
      <c r="K24" s="41">
        <v>6</v>
      </c>
      <c r="L24" s="41">
        <v>2</v>
      </c>
      <c r="M24" s="41">
        <v>34</v>
      </c>
      <c r="N24" s="41">
        <v>20</v>
      </c>
      <c r="O24" s="41">
        <v>26</v>
      </c>
      <c r="P24" s="41">
        <v>8</v>
      </c>
      <c r="Q24" s="41">
        <v>31</v>
      </c>
      <c r="R24" s="41">
        <v>8</v>
      </c>
      <c r="S24" s="41">
        <v>9</v>
      </c>
      <c r="T24" s="41">
        <v>8</v>
      </c>
      <c r="U24" s="41">
        <v>25</v>
      </c>
      <c r="V24" s="41">
        <v>19</v>
      </c>
      <c r="W24" s="41">
        <v>7</v>
      </c>
      <c r="X24" s="42">
        <v>5</v>
      </c>
      <c r="Y24" s="62">
        <f t="shared" si="2"/>
        <v>212</v>
      </c>
    </row>
    <row r="25" spans="1:25" x14ac:dyDescent="0.25">
      <c r="A25" s="134"/>
      <c r="B25" s="54" t="s">
        <v>51</v>
      </c>
      <c r="C25" s="55">
        <v>0</v>
      </c>
      <c r="E25" s="32">
        <f t="shared" si="1"/>
        <v>42027</v>
      </c>
      <c r="F25" s="71"/>
      <c r="G25" s="71">
        <v>4000</v>
      </c>
      <c r="H25" s="72" t="s">
        <v>81</v>
      </c>
      <c r="I25" s="31">
        <f t="shared" si="0"/>
        <v>42027</v>
      </c>
      <c r="J25" s="40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2"/>
      <c r="Y25" s="62">
        <f t="shared" si="2"/>
        <v>0</v>
      </c>
    </row>
    <row r="26" spans="1:25" ht="15.75" thickBot="1" x14ac:dyDescent="0.3">
      <c r="A26" s="134"/>
      <c r="B26" s="57" t="s">
        <v>52</v>
      </c>
      <c r="C26" s="56">
        <v>0</v>
      </c>
      <c r="E26" s="32">
        <f t="shared" si="1"/>
        <v>42028</v>
      </c>
      <c r="F26" s="71"/>
      <c r="G26" s="71">
        <f>350/2+230</f>
        <v>405</v>
      </c>
      <c r="H26" s="72" t="s">
        <v>80</v>
      </c>
      <c r="I26" s="31">
        <f t="shared" si="0"/>
        <v>42028</v>
      </c>
      <c r="J26" s="40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2"/>
      <c r="Y26" s="62">
        <f t="shared" si="2"/>
        <v>0</v>
      </c>
    </row>
    <row r="27" spans="1:25" ht="15.75" thickBot="1" x14ac:dyDescent="0.3">
      <c r="A27" s="134"/>
      <c r="B27" s="52" t="s">
        <v>54</v>
      </c>
      <c r="C27" s="60">
        <f>C22-SUM(C23:C26)</f>
        <v>13155</v>
      </c>
      <c r="E27" s="32">
        <f t="shared" si="1"/>
        <v>42029</v>
      </c>
      <c r="F27" s="71">
        <f>220+140+300+30</f>
        <v>690</v>
      </c>
      <c r="G27" s="71"/>
      <c r="H27" s="72" t="s">
        <v>76</v>
      </c>
      <c r="I27" s="31">
        <f t="shared" si="0"/>
        <v>42029</v>
      </c>
      <c r="J27" s="40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2"/>
      <c r="Y27" s="62">
        <f t="shared" si="2"/>
        <v>0</v>
      </c>
    </row>
    <row r="28" spans="1:25" ht="15.75" thickBot="1" x14ac:dyDescent="0.3">
      <c r="A28" s="135"/>
      <c r="B28" s="33"/>
      <c r="C28" s="34"/>
      <c r="E28" s="32">
        <f t="shared" si="1"/>
        <v>42030</v>
      </c>
      <c r="F28" s="71"/>
      <c r="G28" s="29"/>
      <c r="H28" s="72"/>
      <c r="I28" s="31">
        <f t="shared" si="0"/>
        <v>42030</v>
      </c>
      <c r="J28" s="40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2"/>
      <c r="Y28" s="62">
        <f t="shared" si="2"/>
        <v>0</v>
      </c>
    </row>
    <row r="29" spans="1:25" ht="15.75" thickBot="1" x14ac:dyDescent="0.3">
      <c r="B29" s="16" t="s">
        <v>28</v>
      </c>
      <c r="C29" s="17">
        <f>'1'!G35</f>
        <v>22395</v>
      </c>
      <c r="E29" s="32">
        <f t="shared" si="1"/>
        <v>42031</v>
      </c>
      <c r="F29" s="71"/>
      <c r="G29" s="71"/>
      <c r="H29" s="72"/>
      <c r="I29" s="31">
        <f t="shared" si="0"/>
        <v>42031</v>
      </c>
      <c r="J29" s="40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2"/>
      <c r="Y29" s="62">
        <f t="shared" si="2"/>
        <v>0</v>
      </c>
    </row>
    <row r="30" spans="1:25" x14ac:dyDescent="0.25">
      <c r="B30" s="46"/>
      <c r="C30" s="47"/>
      <c r="E30" s="32">
        <f t="shared" si="1"/>
        <v>42032</v>
      </c>
      <c r="F30" s="29"/>
      <c r="G30" s="29"/>
      <c r="H30" s="72"/>
      <c r="I30" s="31">
        <f t="shared" si="0"/>
        <v>42032</v>
      </c>
      <c r="J30" s="40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2"/>
      <c r="Y30" s="62">
        <f t="shared" si="2"/>
        <v>0</v>
      </c>
    </row>
    <row r="31" spans="1:25" x14ac:dyDescent="0.25">
      <c r="B31" s="43"/>
      <c r="C31" s="48"/>
      <c r="E31" s="32">
        <f t="shared" si="1"/>
        <v>42033</v>
      </c>
      <c r="F31" s="29">
        <v>4400</v>
      </c>
      <c r="G31" s="29"/>
      <c r="H31" s="72" t="s">
        <v>3</v>
      </c>
      <c r="I31" s="31">
        <f t="shared" si="0"/>
        <v>42033</v>
      </c>
      <c r="J31" s="40">
        <v>5</v>
      </c>
      <c r="K31" s="41">
        <v>7</v>
      </c>
      <c r="L31" s="41">
        <v>7</v>
      </c>
      <c r="M31" s="41">
        <v>25</v>
      </c>
      <c r="N31" s="41">
        <v>23</v>
      </c>
      <c r="O31" s="41">
        <v>24</v>
      </c>
      <c r="P31" s="41">
        <v>11</v>
      </c>
      <c r="Q31" s="41">
        <v>49</v>
      </c>
      <c r="R31" s="41">
        <v>7</v>
      </c>
      <c r="S31" s="41">
        <v>17</v>
      </c>
      <c r="T31" s="41">
        <v>13</v>
      </c>
      <c r="U31" s="41">
        <v>13</v>
      </c>
      <c r="V31" s="41">
        <v>11</v>
      </c>
      <c r="W31" s="41">
        <v>18</v>
      </c>
      <c r="X31" s="42">
        <v>7</v>
      </c>
      <c r="Y31" s="62">
        <f t="shared" si="2"/>
        <v>237</v>
      </c>
    </row>
    <row r="32" spans="1:25" x14ac:dyDescent="0.25">
      <c r="B32" s="43"/>
      <c r="C32" s="48"/>
      <c r="E32" s="32">
        <f t="shared" si="1"/>
        <v>42034</v>
      </c>
      <c r="F32" s="29">
        <v>2430</v>
      </c>
      <c r="G32" s="29"/>
      <c r="H32" s="72" t="s">
        <v>83</v>
      </c>
      <c r="I32" s="31">
        <f t="shared" si="0"/>
        <v>42034</v>
      </c>
      <c r="J32" s="40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2"/>
      <c r="Y32" s="62">
        <f t="shared" si="2"/>
        <v>0</v>
      </c>
    </row>
    <row r="33" spans="2:25" ht="15.75" thickBot="1" x14ac:dyDescent="0.3">
      <c r="B33" s="33"/>
      <c r="C33" s="34"/>
      <c r="E33" s="32">
        <f t="shared" si="1"/>
        <v>42035</v>
      </c>
      <c r="F33" s="29">
        <f>2060+530+170+190+270</f>
        <v>3220</v>
      </c>
      <c r="G33" s="29"/>
      <c r="H33" s="72" t="s">
        <v>82</v>
      </c>
      <c r="I33" s="31">
        <f t="shared" si="0"/>
        <v>42035</v>
      </c>
      <c r="J33" s="40">
        <v>2</v>
      </c>
      <c r="K33" s="41">
        <v>6</v>
      </c>
      <c r="L33" s="41">
        <v>1</v>
      </c>
      <c r="M33" s="41">
        <v>3</v>
      </c>
      <c r="N33" s="41">
        <v>13</v>
      </c>
      <c r="O33" s="41">
        <v>8</v>
      </c>
      <c r="P33" s="41">
        <v>0</v>
      </c>
      <c r="Q33" s="41">
        <v>27</v>
      </c>
      <c r="R33" s="41">
        <v>6</v>
      </c>
      <c r="S33" s="41">
        <v>2</v>
      </c>
      <c r="T33" s="41">
        <v>3</v>
      </c>
      <c r="U33" s="41">
        <v>8</v>
      </c>
      <c r="V33" s="41">
        <v>9</v>
      </c>
      <c r="W33" s="41">
        <v>6</v>
      </c>
      <c r="X33" s="42">
        <v>0</v>
      </c>
      <c r="Y33" s="62">
        <f t="shared" si="2"/>
        <v>94</v>
      </c>
    </row>
    <row r="34" spans="2:25" ht="15.75" thickBot="1" x14ac:dyDescent="0.3">
      <c r="B34" s="43"/>
      <c r="C34" s="48"/>
      <c r="E34" s="19" t="s">
        <v>6</v>
      </c>
      <c r="F34" s="6">
        <f>SUM(F3:F33)</f>
        <v>34200</v>
      </c>
      <c r="G34" s="6">
        <f>SUM(G3:G33)</f>
        <v>11805</v>
      </c>
      <c r="H34" s="2"/>
      <c r="I34" s="22" t="s">
        <v>33</v>
      </c>
      <c r="J34" s="24">
        <f t="shared" ref="J34:Y34" si="3">SUM(J3:J33)</f>
        <v>29</v>
      </c>
      <c r="K34" s="24">
        <f t="shared" si="3"/>
        <v>41</v>
      </c>
      <c r="L34" s="24">
        <f t="shared" si="3"/>
        <v>27</v>
      </c>
      <c r="M34" s="24">
        <f t="shared" si="3"/>
        <v>121</v>
      </c>
      <c r="N34" s="24">
        <f t="shared" si="3"/>
        <v>108</v>
      </c>
      <c r="O34" s="24">
        <f t="shared" si="3"/>
        <v>90</v>
      </c>
      <c r="P34" s="24">
        <f t="shared" si="3"/>
        <v>28</v>
      </c>
      <c r="Q34" s="24">
        <f t="shared" si="3"/>
        <v>246</v>
      </c>
      <c r="R34" s="24">
        <f t="shared" si="3"/>
        <v>37</v>
      </c>
      <c r="S34" s="24">
        <f t="shared" si="3"/>
        <v>48</v>
      </c>
      <c r="T34" s="24">
        <f t="shared" si="3"/>
        <v>63</v>
      </c>
      <c r="U34" s="24">
        <f t="shared" si="3"/>
        <v>85</v>
      </c>
      <c r="V34" s="24">
        <f t="shared" si="3"/>
        <v>88</v>
      </c>
      <c r="W34" s="24">
        <f t="shared" si="3"/>
        <v>71</v>
      </c>
      <c r="X34" s="24">
        <f t="shared" si="3"/>
        <v>36</v>
      </c>
      <c r="Y34" s="24">
        <f t="shared" si="3"/>
        <v>1118</v>
      </c>
    </row>
    <row r="35" spans="2:25" ht="15.75" thickBot="1" x14ac:dyDescent="0.3">
      <c r="B35" s="43"/>
      <c r="C35" s="48"/>
      <c r="E35" s="136" t="s">
        <v>37</v>
      </c>
      <c r="F35" s="137"/>
      <c r="G35" s="1">
        <f>F34-G34</f>
        <v>22395</v>
      </c>
      <c r="I35"/>
    </row>
    <row r="36" spans="2:25" ht="24" x14ac:dyDescent="0.25">
      <c r="B36" s="43"/>
      <c r="C36" s="48"/>
      <c r="J36" s="8" t="s">
        <v>22</v>
      </c>
      <c r="K36" s="8" t="s">
        <v>5</v>
      </c>
      <c r="L36" s="8" t="s">
        <v>13</v>
      </c>
      <c r="M36" s="8" t="s">
        <v>14</v>
      </c>
      <c r="N36" s="8" t="s">
        <v>15</v>
      </c>
      <c r="O36" s="8" t="s">
        <v>16</v>
      </c>
      <c r="P36" s="8" t="s">
        <v>17</v>
      </c>
      <c r="Q36" s="8" t="s">
        <v>23</v>
      </c>
      <c r="R36" s="8" t="s">
        <v>24</v>
      </c>
      <c r="S36" s="8" t="s">
        <v>26</v>
      </c>
      <c r="T36" s="8" t="s">
        <v>19</v>
      </c>
      <c r="U36" s="8" t="s">
        <v>20</v>
      </c>
      <c r="V36" s="8" t="s">
        <v>21</v>
      </c>
      <c r="W36" s="8" t="s">
        <v>36</v>
      </c>
      <c r="X36" s="8" t="s">
        <v>18</v>
      </c>
    </row>
    <row r="37" spans="2:25" ht="15.75" thickBot="1" x14ac:dyDescent="0.3">
      <c r="B37" s="43"/>
      <c r="C37" s="48"/>
      <c r="J37" s="9">
        <f>J34</f>
        <v>29</v>
      </c>
      <c r="K37" s="9">
        <f t="shared" ref="K37:X37" si="4">K34</f>
        <v>41</v>
      </c>
      <c r="L37" s="9">
        <f t="shared" si="4"/>
        <v>27</v>
      </c>
      <c r="M37" s="9">
        <f t="shared" si="4"/>
        <v>121</v>
      </c>
      <c r="N37" s="9">
        <f t="shared" si="4"/>
        <v>108</v>
      </c>
      <c r="O37" s="9">
        <f t="shared" si="4"/>
        <v>90</v>
      </c>
      <c r="P37" s="9">
        <f t="shared" si="4"/>
        <v>28</v>
      </c>
      <c r="Q37" s="9">
        <f t="shared" si="4"/>
        <v>246</v>
      </c>
      <c r="R37" s="9">
        <f t="shared" si="4"/>
        <v>37</v>
      </c>
      <c r="S37" s="9">
        <f t="shared" si="4"/>
        <v>48</v>
      </c>
      <c r="T37" s="9">
        <f t="shared" si="4"/>
        <v>63</v>
      </c>
      <c r="U37" s="9">
        <f t="shared" si="4"/>
        <v>85</v>
      </c>
      <c r="V37" s="9">
        <f t="shared" si="4"/>
        <v>88</v>
      </c>
      <c r="W37" s="9">
        <f t="shared" si="4"/>
        <v>71</v>
      </c>
      <c r="X37" s="9">
        <f t="shared" si="4"/>
        <v>36</v>
      </c>
    </row>
    <row r="38" spans="2:25" x14ac:dyDescent="0.25">
      <c r="B38" s="45"/>
      <c r="C38" s="45"/>
      <c r="I38" s="21"/>
      <c r="J38" s="10">
        <f>J34*'[3]Себестоимость '!D17</f>
        <v>269.94166666666666</v>
      </c>
      <c r="K38" s="10">
        <f>K34*'[3]Себестоимость '!E17</f>
        <v>340.02666666666664</v>
      </c>
      <c r="L38" s="10">
        <f>L34*'[3]Себестоимость '!F17</f>
        <v>239.715</v>
      </c>
      <c r="M38" s="10">
        <f>M34*'[3]Себестоимость '!G17</f>
        <v>1162.0033333333331</v>
      </c>
      <c r="N38" s="10">
        <f>N34*'[3]Себестоимость '!H17</f>
        <v>984.13199999999983</v>
      </c>
      <c r="O38" s="10">
        <f>O34*'[3]Себестоимость '!I17</f>
        <v>326.10000000000002</v>
      </c>
      <c r="P38" s="10" t="e">
        <f>P34*'[3]Себестоимость '!J17</f>
        <v>#REF!</v>
      </c>
      <c r="Q38" s="10">
        <f>Q34*'[3]Себестоимость '!K17</f>
        <v>792.11999999999989</v>
      </c>
      <c r="R38" s="10">
        <f>R34*'[3]Себестоимость '!L17</f>
        <v>167.61</v>
      </c>
      <c r="S38" s="10">
        <f>S34*'[3]Себестоимость '!M17</f>
        <v>164.49600000000001</v>
      </c>
      <c r="T38" s="10">
        <f>T34*'[3]Себестоимость '!N17</f>
        <v>233.41499999999999</v>
      </c>
      <c r="U38" s="10">
        <f>U34*'[3]Себестоимость '!O17</f>
        <v>434.77500000000003</v>
      </c>
      <c r="V38" s="10">
        <f>V34*'[3]Себестоимость '!P17</f>
        <v>389.84</v>
      </c>
      <c r="W38" s="10">
        <f>W34*'[3]Себестоимость '!Q17</f>
        <v>345.41499999999996</v>
      </c>
      <c r="X38" s="10">
        <f>X34*'[3]Себестоимость '!R17</f>
        <v>170.1</v>
      </c>
      <c r="Y38" s="73" t="s">
        <v>30</v>
      </c>
    </row>
    <row r="39" spans="2:25" ht="15.75" thickBot="1" x14ac:dyDescent="0.3">
      <c r="B39" s="138"/>
      <c r="C39" s="138"/>
      <c r="Y39" s="74" t="s">
        <v>29</v>
      </c>
    </row>
    <row r="40" spans="2:25" x14ac:dyDescent="0.25">
      <c r="B40" s="46"/>
      <c r="C40" s="47"/>
    </row>
    <row r="41" spans="2:25" x14ac:dyDescent="0.25">
      <c r="B41" s="43"/>
      <c r="C41" s="48"/>
    </row>
    <row r="42" spans="2:25" x14ac:dyDescent="0.25">
      <c r="B42" s="45"/>
      <c r="C42" s="45"/>
    </row>
    <row r="43" spans="2:25" x14ac:dyDescent="0.25">
      <c r="B43" s="138"/>
      <c r="C43" s="138"/>
    </row>
    <row r="44" spans="2:25" x14ac:dyDescent="0.25">
      <c r="B44" s="33"/>
      <c r="C44" s="34"/>
    </row>
    <row r="45" spans="2:25" x14ac:dyDescent="0.25">
      <c r="B45" s="43"/>
      <c r="C45" s="44"/>
    </row>
  </sheetData>
  <mergeCells count="10">
    <mergeCell ref="A23:A28"/>
    <mergeCell ref="E35:F35"/>
    <mergeCell ref="B39:C39"/>
    <mergeCell ref="B43:C43"/>
    <mergeCell ref="A6:A16"/>
    <mergeCell ref="B1:C1"/>
    <mergeCell ref="E1:H1"/>
    <mergeCell ref="I1:I2"/>
    <mergeCell ref="Y1:Y2"/>
    <mergeCell ref="B2:C2"/>
  </mergeCells>
  <conditionalFormatting sqref="Y3:Y33">
    <cfRule type="cellIs" dxfId="93" priority="6" operator="equal">
      <formula>0</formula>
    </cfRule>
  </conditionalFormatting>
  <conditionalFormatting sqref="E3:E33">
    <cfRule type="cellIs" dxfId="92" priority="5" operator="equal">
      <formula>$Z$1</formula>
    </cfRule>
  </conditionalFormatting>
  <conditionalFormatting sqref="I3:I33">
    <cfRule type="cellIs" dxfId="91" priority="4" operator="equal">
      <formula>$Z$1</formula>
    </cfRule>
  </conditionalFormatting>
  <conditionalFormatting sqref="I34">
    <cfRule type="expression" dxfId="90" priority="3">
      <formula>$E$3:$E$32=TODAY()</formula>
    </cfRule>
  </conditionalFormatting>
  <conditionalFormatting sqref="I34">
    <cfRule type="cellIs" dxfId="89" priority="2" operator="equal">
      <formula>$Z$1</formula>
    </cfRule>
  </conditionalFormatting>
  <conditionalFormatting sqref="E28:F28 I28:Y28 E3:Y27 E29:Y33">
    <cfRule type="expression" dxfId="88" priority="7">
      <formula>$E3=$Z$1</formula>
    </cfRule>
  </conditionalFormatting>
  <conditionalFormatting sqref="G28:H28">
    <cfRule type="expression" dxfId="87" priority="1">
      <formula>$E28=$Z$1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Z45"/>
  <sheetViews>
    <sheetView zoomScale="85" zoomScaleNormal="85" workbookViewId="0">
      <pane ySplit="2" topLeftCell="A3" activePane="bottomLeft" state="frozen"/>
      <selection activeCell="B17" sqref="B17"/>
      <selection pane="bottomLeft" activeCell="C14" sqref="C14"/>
    </sheetView>
  </sheetViews>
  <sheetFormatPr defaultRowHeight="15" x14ac:dyDescent="0.25"/>
  <cols>
    <col min="1" max="1" width="6.5703125" customWidth="1"/>
    <col min="2" max="2" width="30.42578125" bestFit="1" customWidth="1"/>
    <col min="3" max="3" width="15.28515625" customWidth="1"/>
    <col min="5" max="5" width="8.42578125" bestFit="1" customWidth="1"/>
    <col min="6" max="6" width="12.7109375" bestFit="1" customWidth="1"/>
    <col min="7" max="7" width="12.140625" bestFit="1" customWidth="1"/>
    <col min="8" max="8" width="48.42578125" bestFit="1" customWidth="1"/>
    <col min="9" max="9" width="8.7109375" style="20" bestFit="1" customWidth="1"/>
    <col min="10" max="10" width="12.28515625" customWidth="1"/>
    <col min="11" max="11" width="11.28515625" customWidth="1"/>
    <col min="12" max="12" width="10.140625" customWidth="1"/>
    <col min="13" max="16" width="9.28515625" bestFit="1" customWidth="1"/>
    <col min="17" max="17" width="9.85546875" bestFit="1" customWidth="1"/>
    <col min="18" max="22" width="9.28515625" bestFit="1" customWidth="1"/>
    <col min="23" max="23" width="11" customWidth="1"/>
    <col min="24" max="24" width="10.5703125" bestFit="1" customWidth="1"/>
    <col min="25" max="25" width="9.7109375" style="5" customWidth="1"/>
    <col min="26" max="26" width="10.28515625" bestFit="1" customWidth="1"/>
    <col min="249" max="249" width="30.42578125" bestFit="1" customWidth="1"/>
    <col min="250" max="250" width="12.140625" customWidth="1"/>
    <col min="251" max="251" width="29.140625" bestFit="1" customWidth="1"/>
    <col min="252" max="252" width="12.5703125" customWidth="1"/>
    <col min="254" max="254" width="24" customWidth="1"/>
    <col min="255" max="255" width="22.28515625" customWidth="1"/>
    <col min="257" max="257" width="10.140625" bestFit="1" customWidth="1"/>
    <col min="258" max="258" width="12.7109375" bestFit="1" customWidth="1"/>
    <col min="259" max="259" width="12.140625" bestFit="1" customWidth="1"/>
    <col min="260" max="260" width="24.42578125" bestFit="1" customWidth="1"/>
    <col min="505" max="505" width="30.42578125" bestFit="1" customWidth="1"/>
    <col min="506" max="506" width="12.140625" customWidth="1"/>
    <col min="507" max="507" width="29.140625" bestFit="1" customWidth="1"/>
    <col min="508" max="508" width="12.5703125" customWidth="1"/>
    <col min="510" max="510" width="24" customWidth="1"/>
    <col min="511" max="511" width="22.28515625" customWidth="1"/>
    <col min="513" max="513" width="10.140625" bestFit="1" customWidth="1"/>
    <col min="514" max="514" width="12.7109375" bestFit="1" customWidth="1"/>
    <col min="515" max="515" width="12.140625" bestFit="1" customWidth="1"/>
    <col min="516" max="516" width="24.42578125" bestFit="1" customWidth="1"/>
    <col min="761" max="761" width="30.42578125" bestFit="1" customWidth="1"/>
    <col min="762" max="762" width="12.140625" customWidth="1"/>
    <col min="763" max="763" width="29.140625" bestFit="1" customWidth="1"/>
    <col min="764" max="764" width="12.5703125" customWidth="1"/>
    <col min="766" max="766" width="24" customWidth="1"/>
    <col min="767" max="767" width="22.28515625" customWidth="1"/>
    <col min="769" max="769" width="10.140625" bestFit="1" customWidth="1"/>
    <col min="770" max="770" width="12.7109375" bestFit="1" customWidth="1"/>
    <col min="771" max="771" width="12.140625" bestFit="1" customWidth="1"/>
    <col min="772" max="772" width="24.42578125" bestFit="1" customWidth="1"/>
    <col min="1017" max="1017" width="30.42578125" bestFit="1" customWidth="1"/>
    <col min="1018" max="1018" width="12.140625" customWidth="1"/>
    <col min="1019" max="1019" width="29.140625" bestFit="1" customWidth="1"/>
    <col min="1020" max="1020" width="12.5703125" customWidth="1"/>
    <col min="1022" max="1022" width="24" customWidth="1"/>
    <col min="1023" max="1023" width="22.28515625" customWidth="1"/>
    <col min="1025" max="1025" width="10.140625" bestFit="1" customWidth="1"/>
    <col min="1026" max="1026" width="12.7109375" bestFit="1" customWidth="1"/>
    <col min="1027" max="1027" width="12.140625" bestFit="1" customWidth="1"/>
    <col min="1028" max="1028" width="24.42578125" bestFit="1" customWidth="1"/>
    <col min="1273" max="1273" width="30.42578125" bestFit="1" customWidth="1"/>
    <col min="1274" max="1274" width="12.140625" customWidth="1"/>
    <col min="1275" max="1275" width="29.140625" bestFit="1" customWidth="1"/>
    <col min="1276" max="1276" width="12.5703125" customWidth="1"/>
    <col min="1278" max="1278" width="24" customWidth="1"/>
    <col min="1279" max="1279" width="22.28515625" customWidth="1"/>
    <col min="1281" max="1281" width="10.140625" bestFit="1" customWidth="1"/>
    <col min="1282" max="1282" width="12.7109375" bestFit="1" customWidth="1"/>
    <col min="1283" max="1283" width="12.140625" bestFit="1" customWidth="1"/>
    <col min="1284" max="1284" width="24.42578125" bestFit="1" customWidth="1"/>
    <col min="1529" max="1529" width="30.42578125" bestFit="1" customWidth="1"/>
    <col min="1530" max="1530" width="12.140625" customWidth="1"/>
    <col min="1531" max="1531" width="29.140625" bestFit="1" customWidth="1"/>
    <col min="1532" max="1532" width="12.5703125" customWidth="1"/>
    <col min="1534" max="1534" width="24" customWidth="1"/>
    <col min="1535" max="1535" width="22.28515625" customWidth="1"/>
    <col min="1537" max="1537" width="10.140625" bestFit="1" customWidth="1"/>
    <col min="1538" max="1538" width="12.7109375" bestFit="1" customWidth="1"/>
    <col min="1539" max="1539" width="12.140625" bestFit="1" customWidth="1"/>
    <col min="1540" max="1540" width="24.42578125" bestFit="1" customWidth="1"/>
    <col min="1785" max="1785" width="30.42578125" bestFit="1" customWidth="1"/>
    <col min="1786" max="1786" width="12.140625" customWidth="1"/>
    <col min="1787" max="1787" width="29.140625" bestFit="1" customWidth="1"/>
    <col min="1788" max="1788" width="12.5703125" customWidth="1"/>
    <col min="1790" max="1790" width="24" customWidth="1"/>
    <col min="1791" max="1791" width="22.28515625" customWidth="1"/>
    <col min="1793" max="1793" width="10.140625" bestFit="1" customWidth="1"/>
    <col min="1794" max="1794" width="12.7109375" bestFit="1" customWidth="1"/>
    <col min="1795" max="1795" width="12.140625" bestFit="1" customWidth="1"/>
    <col min="1796" max="1796" width="24.42578125" bestFit="1" customWidth="1"/>
    <col min="2041" max="2041" width="30.42578125" bestFit="1" customWidth="1"/>
    <col min="2042" max="2042" width="12.140625" customWidth="1"/>
    <col min="2043" max="2043" width="29.140625" bestFit="1" customWidth="1"/>
    <col min="2044" max="2044" width="12.5703125" customWidth="1"/>
    <col min="2046" max="2046" width="24" customWidth="1"/>
    <col min="2047" max="2047" width="22.28515625" customWidth="1"/>
    <col min="2049" max="2049" width="10.140625" bestFit="1" customWidth="1"/>
    <col min="2050" max="2050" width="12.7109375" bestFit="1" customWidth="1"/>
    <col min="2051" max="2051" width="12.140625" bestFit="1" customWidth="1"/>
    <col min="2052" max="2052" width="24.42578125" bestFit="1" customWidth="1"/>
    <col min="2297" max="2297" width="30.42578125" bestFit="1" customWidth="1"/>
    <col min="2298" max="2298" width="12.140625" customWidth="1"/>
    <col min="2299" max="2299" width="29.140625" bestFit="1" customWidth="1"/>
    <col min="2300" max="2300" width="12.5703125" customWidth="1"/>
    <col min="2302" max="2302" width="24" customWidth="1"/>
    <col min="2303" max="2303" width="22.28515625" customWidth="1"/>
    <col min="2305" max="2305" width="10.140625" bestFit="1" customWidth="1"/>
    <col min="2306" max="2306" width="12.7109375" bestFit="1" customWidth="1"/>
    <col min="2307" max="2307" width="12.140625" bestFit="1" customWidth="1"/>
    <col min="2308" max="2308" width="24.42578125" bestFit="1" customWidth="1"/>
    <col min="2553" max="2553" width="30.42578125" bestFit="1" customWidth="1"/>
    <col min="2554" max="2554" width="12.140625" customWidth="1"/>
    <col min="2555" max="2555" width="29.140625" bestFit="1" customWidth="1"/>
    <col min="2556" max="2556" width="12.5703125" customWidth="1"/>
    <col min="2558" max="2558" width="24" customWidth="1"/>
    <col min="2559" max="2559" width="22.28515625" customWidth="1"/>
    <col min="2561" max="2561" width="10.140625" bestFit="1" customWidth="1"/>
    <col min="2562" max="2562" width="12.7109375" bestFit="1" customWidth="1"/>
    <col min="2563" max="2563" width="12.140625" bestFit="1" customWidth="1"/>
    <col min="2564" max="2564" width="24.42578125" bestFit="1" customWidth="1"/>
    <col min="2809" max="2809" width="30.42578125" bestFit="1" customWidth="1"/>
    <col min="2810" max="2810" width="12.140625" customWidth="1"/>
    <col min="2811" max="2811" width="29.140625" bestFit="1" customWidth="1"/>
    <col min="2812" max="2812" width="12.5703125" customWidth="1"/>
    <col min="2814" max="2814" width="24" customWidth="1"/>
    <col min="2815" max="2815" width="22.28515625" customWidth="1"/>
    <col min="2817" max="2817" width="10.140625" bestFit="1" customWidth="1"/>
    <col min="2818" max="2818" width="12.7109375" bestFit="1" customWidth="1"/>
    <col min="2819" max="2819" width="12.140625" bestFit="1" customWidth="1"/>
    <col min="2820" max="2820" width="24.42578125" bestFit="1" customWidth="1"/>
    <col min="3065" max="3065" width="30.42578125" bestFit="1" customWidth="1"/>
    <col min="3066" max="3066" width="12.140625" customWidth="1"/>
    <col min="3067" max="3067" width="29.140625" bestFit="1" customWidth="1"/>
    <col min="3068" max="3068" width="12.5703125" customWidth="1"/>
    <col min="3070" max="3070" width="24" customWidth="1"/>
    <col min="3071" max="3071" width="22.28515625" customWidth="1"/>
    <col min="3073" max="3073" width="10.140625" bestFit="1" customWidth="1"/>
    <col min="3074" max="3074" width="12.7109375" bestFit="1" customWidth="1"/>
    <col min="3075" max="3075" width="12.140625" bestFit="1" customWidth="1"/>
    <col min="3076" max="3076" width="24.42578125" bestFit="1" customWidth="1"/>
    <col min="3321" max="3321" width="30.42578125" bestFit="1" customWidth="1"/>
    <col min="3322" max="3322" width="12.140625" customWidth="1"/>
    <col min="3323" max="3323" width="29.140625" bestFit="1" customWidth="1"/>
    <col min="3324" max="3324" width="12.5703125" customWidth="1"/>
    <col min="3326" max="3326" width="24" customWidth="1"/>
    <col min="3327" max="3327" width="22.28515625" customWidth="1"/>
    <col min="3329" max="3329" width="10.140625" bestFit="1" customWidth="1"/>
    <col min="3330" max="3330" width="12.7109375" bestFit="1" customWidth="1"/>
    <col min="3331" max="3331" width="12.140625" bestFit="1" customWidth="1"/>
    <col min="3332" max="3332" width="24.42578125" bestFit="1" customWidth="1"/>
    <col min="3577" max="3577" width="30.42578125" bestFit="1" customWidth="1"/>
    <col min="3578" max="3578" width="12.140625" customWidth="1"/>
    <col min="3579" max="3579" width="29.140625" bestFit="1" customWidth="1"/>
    <col min="3580" max="3580" width="12.5703125" customWidth="1"/>
    <col min="3582" max="3582" width="24" customWidth="1"/>
    <col min="3583" max="3583" width="22.28515625" customWidth="1"/>
    <col min="3585" max="3585" width="10.140625" bestFit="1" customWidth="1"/>
    <col min="3586" max="3586" width="12.7109375" bestFit="1" customWidth="1"/>
    <col min="3587" max="3587" width="12.140625" bestFit="1" customWidth="1"/>
    <col min="3588" max="3588" width="24.42578125" bestFit="1" customWidth="1"/>
    <col min="3833" max="3833" width="30.42578125" bestFit="1" customWidth="1"/>
    <col min="3834" max="3834" width="12.140625" customWidth="1"/>
    <col min="3835" max="3835" width="29.140625" bestFit="1" customWidth="1"/>
    <col min="3836" max="3836" width="12.5703125" customWidth="1"/>
    <col min="3838" max="3838" width="24" customWidth="1"/>
    <col min="3839" max="3839" width="22.28515625" customWidth="1"/>
    <col min="3841" max="3841" width="10.140625" bestFit="1" customWidth="1"/>
    <col min="3842" max="3842" width="12.7109375" bestFit="1" customWidth="1"/>
    <col min="3843" max="3843" width="12.140625" bestFit="1" customWidth="1"/>
    <col min="3844" max="3844" width="24.42578125" bestFit="1" customWidth="1"/>
    <col min="4089" max="4089" width="30.42578125" bestFit="1" customWidth="1"/>
    <col min="4090" max="4090" width="12.140625" customWidth="1"/>
    <col min="4091" max="4091" width="29.140625" bestFit="1" customWidth="1"/>
    <col min="4092" max="4092" width="12.5703125" customWidth="1"/>
    <col min="4094" max="4094" width="24" customWidth="1"/>
    <col min="4095" max="4095" width="22.28515625" customWidth="1"/>
    <col min="4097" max="4097" width="10.140625" bestFit="1" customWidth="1"/>
    <col min="4098" max="4098" width="12.7109375" bestFit="1" customWidth="1"/>
    <col min="4099" max="4099" width="12.140625" bestFit="1" customWidth="1"/>
    <col min="4100" max="4100" width="24.42578125" bestFit="1" customWidth="1"/>
    <col min="4345" max="4345" width="30.42578125" bestFit="1" customWidth="1"/>
    <col min="4346" max="4346" width="12.140625" customWidth="1"/>
    <col min="4347" max="4347" width="29.140625" bestFit="1" customWidth="1"/>
    <col min="4348" max="4348" width="12.5703125" customWidth="1"/>
    <col min="4350" max="4350" width="24" customWidth="1"/>
    <col min="4351" max="4351" width="22.28515625" customWidth="1"/>
    <col min="4353" max="4353" width="10.140625" bestFit="1" customWidth="1"/>
    <col min="4354" max="4354" width="12.7109375" bestFit="1" customWidth="1"/>
    <col min="4355" max="4355" width="12.140625" bestFit="1" customWidth="1"/>
    <col min="4356" max="4356" width="24.42578125" bestFit="1" customWidth="1"/>
    <col min="4601" max="4601" width="30.42578125" bestFit="1" customWidth="1"/>
    <col min="4602" max="4602" width="12.140625" customWidth="1"/>
    <col min="4603" max="4603" width="29.140625" bestFit="1" customWidth="1"/>
    <col min="4604" max="4604" width="12.5703125" customWidth="1"/>
    <col min="4606" max="4606" width="24" customWidth="1"/>
    <col min="4607" max="4607" width="22.28515625" customWidth="1"/>
    <col min="4609" max="4609" width="10.140625" bestFit="1" customWidth="1"/>
    <col min="4610" max="4610" width="12.7109375" bestFit="1" customWidth="1"/>
    <col min="4611" max="4611" width="12.140625" bestFit="1" customWidth="1"/>
    <col min="4612" max="4612" width="24.42578125" bestFit="1" customWidth="1"/>
    <col min="4857" max="4857" width="30.42578125" bestFit="1" customWidth="1"/>
    <col min="4858" max="4858" width="12.140625" customWidth="1"/>
    <col min="4859" max="4859" width="29.140625" bestFit="1" customWidth="1"/>
    <col min="4860" max="4860" width="12.5703125" customWidth="1"/>
    <col min="4862" max="4862" width="24" customWidth="1"/>
    <col min="4863" max="4863" width="22.28515625" customWidth="1"/>
    <col min="4865" max="4865" width="10.140625" bestFit="1" customWidth="1"/>
    <col min="4866" max="4866" width="12.7109375" bestFit="1" customWidth="1"/>
    <col min="4867" max="4867" width="12.140625" bestFit="1" customWidth="1"/>
    <col min="4868" max="4868" width="24.42578125" bestFit="1" customWidth="1"/>
    <col min="5113" max="5113" width="30.42578125" bestFit="1" customWidth="1"/>
    <col min="5114" max="5114" width="12.140625" customWidth="1"/>
    <col min="5115" max="5115" width="29.140625" bestFit="1" customWidth="1"/>
    <col min="5116" max="5116" width="12.5703125" customWidth="1"/>
    <col min="5118" max="5118" width="24" customWidth="1"/>
    <col min="5119" max="5119" width="22.28515625" customWidth="1"/>
    <col min="5121" max="5121" width="10.140625" bestFit="1" customWidth="1"/>
    <col min="5122" max="5122" width="12.7109375" bestFit="1" customWidth="1"/>
    <col min="5123" max="5123" width="12.140625" bestFit="1" customWidth="1"/>
    <col min="5124" max="5124" width="24.42578125" bestFit="1" customWidth="1"/>
    <col min="5369" max="5369" width="30.42578125" bestFit="1" customWidth="1"/>
    <col min="5370" max="5370" width="12.140625" customWidth="1"/>
    <col min="5371" max="5371" width="29.140625" bestFit="1" customWidth="1"/>
    <col min="5372" max="5372" width="12.5703125" customWidth="1"/>
    <col min="5374" max="5374" width="24" customWidth="1"/>
    <col min="5375" max="5375" width="22.28515625" customWidth="1"/>
    <col min="5377" max="5377" width="10.140625" bestFit="1" customWidth="1"/>
    <col min="5378" max="5378" width="12.7109375" bestFit="1" customWidth="1"/>
    <col min="5379" max="5379" width="12.140625" bestFit="1" customWidth="1"/>
    <col min="5380" max="5380" width="24.42578125" bestFit="1" customWidth="1"/>
    <col min="5625" max="5625" width="30.42578125" bestFit="1" customWidth="1"/>
    <col min="5626" max="5626" width="12.140625" customWidth="1"/>
    <col min="5627" max="5627" width="29.140625" bestFit="1" customWidth="1"/>
    <col min="5628" max="5628" width="12.5703125" customWidth="1"/>
    <col min="5630" max="5630" width="24" customWidth="1"/>
    <col min="5631" max="5631" width="22.28515625" customWidth="1"/>
    <col min="5633" max="5633" width="10.140625" bestFit="1" customWidth="1"/>
    <col min="5634" max="5634" width="12.7109375" bestFit="1" customWidth="1"/>
    <col min="5635" max="5635" width="12.140625" bestFit="1" customWidth="1"/>
    <col min="5636" max="5636" width="24.42578125" bestFit="1" customWidth="1"/>
    <col min="5881" max="5881" width="30.42578125" bestFit="1" customWidth="1"/>
    <col min="5882" max="5882" width="12.140625" customWidth="1"/>
    <col min="5883" max="5883" width="29.140625" bestFit="1" customWidth="1"/>
    <col min="5884" max="5884" width="12.5703125" customWidth="1"/>
    <col min="5886" max="5886" width="24" customWidth="1"/>
    <col min="5887" max="5887" width="22.28515625" customWidth="1"/>
    <col min="5889" max="5889" width="10.140625" bestFit="1" customWidth="1"/>
    <col min="5890" max="5890" width="12.7109375" bestFit="1" customWidth="1"/>
    <col min="5891" max="5891" width="12.140625" bestFit="1" customWidth="1"/>
    <col min="5892" max="5892" width="24.42578125" bestFit="1" customWidth="1"/>
    <col min="6137" max="6137" width="30.42578125" bestFit="1" customWidth="1"/>
    <col min="6138" max="6138" width="12.140625" customWidth="1"/>
    <col min="6139" max="6139" width="29.140625" bestFit="1" customWidth="1"/>
    <col min="6140" max="6140" width="12.5703125" customWidth="1"/>
    <col min="6142" max="6142" width="24" customWidth="1"/>
    <col min="6143" max="6143" width="22.28515625" customWidth="1"/>
    <col min="6145" max="6145" width="10.140625" bestFit="1" customWidth="1"/>
    <col min="6146" max="6146" width="12.7109375" bestFit="1" customWidth="1"/>
    <col min="6147" max="6147" width="12.140625" bestFit="1" customWidth="1"/>
    <col min="6148" max="6148" width="24.42578125" bestFit="1" customWidth="1"/>
    <col min="6393" max="6393" width="30.42578125" bestFit="1" customWidth="1"/>
    <col min="6394" max="6394" width="12.140625" customWidth="1"/>
    <col min="6395" max="6395" width="29.140625" bestFit="1" customWidth="1"/>
    <col min="6396" max="6396" width="12.5703125" customWidth="1"/>
    <col min="6398" max="6398" width="24" customWidth="1"/>
    <col min="6399" max="6399" width="22.28515625" customWidth="1"/>
    <col min="6401" max="6401" width="10.140625" bestFit="1" customWidth="1"/>
    <col min="6402" max="6402" width="12.7109375" bestFit="1" customWidth="1"/>
    <col min="6403" max="6403" width="12.140625" bestFit="1" customWidth="1"/>
    <col min="6404" max="6404" width="24.42578125" bestFit="1" customWidth="1"/>
    <col min="6649" max="6649" width="30.42578125" bestFit="1" customWidth="1"/>
    <col min="6650" max="6650" width="12.140625" customWidth="1"/>
    <col min="6651" max="6651" width="29.140625" bestFit="1" customWidth="1"/>
    <col min="6652" max="6652" width="12.5703125" customWidth="1"/>
    <col min="6654" max="6654" width="24" customWidth="1"/>
    <col min="6655" max="6655" width="22.28515625" customWidth="1"/>
    <col min="6657" max="6657" width="10.140625" bestFit="1" customWidth="1"/>
    <col min="6658" max="6658" width="12.7109375" bestFit="1" customWidth="1"/>
    <col min="6659" max="6659" width="12.140625" bestFit="1" customWidth="1"/>
    <col min="6660" max="6660" width="24.42578125" bestFit="1" customWidth="1"/>
    <col min="6905" max="6905" width="30.42578125" bestFit="1" customWidth="1"/>
    <col min="6906" max="6906" width="12.140625" customWidth="1"/>
    <col min="6907" max="6907" width="29.140625" bestFit="1" customWidth="1"/>
    <col min="6908" max="6908" width="12.5703125" customWidth="1"/>
    <col min="6910" max="6910" width="24" customWidth="1"/>
    <col min="6911" max="6911" width="22.28515625" customWidth="1"/>
    <col min="6913" max="6913" width="10.140625" bestFit="1" customWidth="1"/>
    <col min="6914" max="6914" width="12.7109375" bestFit="1" customWidth="1"/>
    <col min="6915" max="6915" width="12.140625" bestFit="1" customWidth="1"/>
    <col min="6916" max="6916" width="24.42578125" bestFit="1" customWidth="1"/>
    <col min="7161" max="7161" width="30.42578125" bestFit="1" customWidth="1"/>
    <col min="7162" max="7162" width="12.140625" customWidth="1"/>
    <col min="7163" max="7163" width="29.140625" bestFit="1" customWidth="1"/>
    <col min="7164" max="7164" width="12.5703125" customWidth="1"/>
    <col min="7166" max="7166" width="24" customWidth="1"/>
    <col min="7167" max="7167" width="22.28515625" customWidth="1"/>
    <col min="7169" max="7169" width="10.140625" bestFit="1" customWidth="1"/>
    <col min="7170" max="7170" width="12.7109375" bestFit="1" customWidth="1"/>
    <col min="7171" max="7171" width="12.140625" bestFit="1" customWidth="1"/>
    <col min="7172" max="7172" width="24.42578125" bestFit="1" customWidth="1"/>
    <col min="7417" max="7417" width="30.42578125" bestFit="1" customWidth="1"/>
    <col min="7418" max="7418" width="12.140625" customWidth="1"/>
    <col min="7419" max="7419" width="29.140625" bestFit="1" customWidth="1"/>
    <col min="7420" max="7420" width="12.5703125" customWidth="1"/>
    <col min="7422" max="7422" width="24" customWidth="1"/>
    <col min="7423" max="7423" width="22.28515625" customWidth="1"/>
    <col min="7425" max="7425" width="10.140625" bestFit="1" customWidth="1"/>
    <col min="7426" max="7426" width="12.7109375" bestFit="1" customWidth="1"/>
    <col min="7427" max="7427" width="12.140625" bestFit="1" customWidth="1"/>
    <col min="7428" max="7428" width="24.42578125" bestFit="1" customWidth="1"/>
    <col min="7673" max="7673" width="30.42578125" bestFit="1" customWidth="1"/>
    <col min="7674" max="7674" width="12.140625" customWidth="1"/>
    <col min="7675" max="7675" width="29.140625" bestFit="1" customWidth="1"/>
    <col min="7676" max="7676" width="12.5703125" customWidth="1"/>
    <col min="7678" max="7678" width="24" customWidth="1"/>
    <col min="7679" max="7679" width="22.28515625" customWidth="1"/>
    <col min="7681" max="7681" width="10.140625" bestFit="1" customWidth="1"/>
    <col min="7682" max="7682" width="12.7109375" bestFit="1" customWidth="1"/>
    <col min="7683" max="7683" width="12.140625" bestFit="1" customWidth="1"/>
    <col min="7684" max="7684" width="24.42578125" bestFit="1" customWidth="1"/>
    <col min="7929" max="7929" width="30.42578125" bestFit="1" customWidth="1"/>
    <col min="7930" max="7930" width="12.140625" customWidth="1"/>
    <col min="7931" max="7931" width="29.140625" bestFit="1" customWidth="1"/>
    <col min="7932" max="7932" width="12.5703125" customWidth="1"/>
    <col min="7934" max="7934" width="24" customWidth="1"/>
    <col min="7935" max="7935" width="22.28515625" customWidth="1"/>
    <col min="7937" max="7937" width="10.140625" bestFit="1" customWidth="1"/>
    <col min="7938" max="7938" width="12.7109375" bestFit="1" customWidth="1"/>
    <col min="7939" max="7939" width="12.140625" bestFit="1" customWidth="1"/>
    <col min="7940" max="7940" width="24.42578125" bestFit="1" customWidth="1"/>
    <col min="8185" max="8185" width="30.42578125" bestFit="1" customWidth="1"/>
    <col min="8186" max="8186" width="12.140625" customWidth="1"/>
    <col min="8187" max="8187" width="29.140625" bestFit="1" customWidth="1"/>
    <col min="8188" max="8188" width="12.5703125" customWidth="1"/>
    <col min="8190" max="8190" width="24" customWidth="1"/>
    <col min="8191" max="8191" width="22.28515625" customWidth="1"/>
    <col min="8193" max="8193" width="10.140625" bestFit="1" customWidth="1"/>
    <col min="8194" max="8194" width="12.7109375" bestFit="1" customWidth="1"/>
    <col min="8195" max="8195" width="12.140625" bestFit="1" customWidth="1"/>
    <col min="8196" max="8196" width="24.42578125" bestFit="1" customWidth="1"/>
    <col min="8441" max="8441" width="30.42578125" bestFit="1" customWidth="1"/>
    <col min="8442" max="8442" width="12.140625" customWidth="1"/>
    <col min="8443" max="8443" width="29.140625" bestFit="1" customWidth="1"/>
    <col min="8444" max="8444" width="12.5703125" customWidth="1"/>
    <col min="8446" max="8446" width="24" customWidth="1"/>
    <col min="8447" max="8447" width="22.28515625" customWidth="1"/>
    <col min="8449" max="8449" width="10.140625" bestFit="1" customWidth="1"/>
    <col min="8450" max="8450" width="12.7109375" bestFit="1" customWidth="1"/>
    <col min="8451" max="8451" width="12.140625" bestFit="1" customWidth="1"/>
    <col min="8452" max="8452" width="24.42578125" bestFit="1" customWidth="1"/>
    <col min="8697" max="8697" width="30.42578125" bestFit="1" customWidth="1"/>
    <col min="8698" max="8698" width="12.140625" customWidth="1"/>
    <col min="8699" max="8699" width="29.140625" bestFit="1" customWidth="1"/>
    <col min="8700" max="8700" width="12.5703125" customWidth="1"/>
    <col min="8702" max="8702" width="24" customWidth="1"/>
    <col min="8703" max="8703" width="22.28515625" customWidth="1"/>
    <col min="8705" max="8705" width="10.140625" bestFit="1" customWidth="1"/>
    <col min="8706" max="8706" width="12.7109375" bestFit="1" customWidth="1"/>
    <col min="8707" max="8707" width="12.140625" bestFit="1" customWidth="1"/>
    <col min="8708" max="8708" width="24.42578125" bestFit="1" customWidth="1"/>
    <col min="8953" max="8953" width="30.42578125" bestFit="1" customWidth="1"/>
    <col min="8954" max="8954" width="12.140625" customWidth="1"/>
    <col min="8955" max="8955" width="29.140625" bestFit="1" customWidth="1"/>
    <col min="8956" max="8956" width="12.5703125" customWidth="1"/>
    <col min="8958" max="8958" width="24" customWidth="1"/>
    <col min="8959" max="8959" width="22.28515625" customWidth="1"/>
    <col min="8961" max="8961" width="10.140625" bestFit="1" customWidth="1"/>
    <col min="8962" max="8962" width="12.7109375" bestFit="1" customWidth="1"/>
    <col min="8963" max="8963" width="12.140625" bestFit="1" customWidth="1"/>
    <col min="8964" max="8964" width="24.42578125" bestFit="1" customWidth="1"/>
    <col min="9209" max="9209" width="30.42578125" bestFit="1" customWidth="1"/>
    <col min="9210" max="9210" width="12.140625" customWidth="1"/>
    <col min="9211" max="9211" width="29.140625" bestFit="1" customWidth="1"/>
    <col min="9212" max="9212" width="12.5703125" customWidth="1"/>
    <col min="9214" max="9214" width="24" customWidth="1"/>
    <col min="9215" max="9215" width="22.28515625" customWidth="1"/>
    <col min="9217" max="9217" width="10.140625" bestFit="1" customWidth="1"/>
    <col min="9218" max="9218" width="12.7109375" bestFit="1" customWidth="1"/>
    <col min="9219" max="9219" width="12.140625" bestFit="1" customWidth="1"/>
    <col min="9220" max="9220" width="24.42578125" bestFit="1" customWidth="1"/>
    <col min="9465" max="9465" width="30.42578125" bestFit="1" customWidth="1"/>
    <col min="9466" max="9466" width="12.140625" customWidth="1"/>
    <col min="9467" max="9467" width="29.140625" bestFit="1" customWidth="1"/>
    <col min="9468" max="9468" width="12.5703125" customWidth="1"/>
    <col min="9470" max="9470" width="24" customWidth="1"/>
    <col min="9471" max="9471" width="22.28515625" customWidth="1"/>
    <col min="9473" max="9473" width="10.140625" bestFit="1" customWidth="1"/>
    <col min="9474" max="9474" width="12.7109375" bestFit="1" customWidth="1"/>
    <col min="9475" max="9475" width="12.140625" bestFit="1" customWidth="1"/>
    <col min="9476" max="9476" width="24.42578125" bestFit="1" customWidth="1"/>
    <col min="9721" max="9721" width="30.42578125" bestFit="1" customWidth="1"/>
    <col min="9722" max="9722" width="12.140625" customWidth="1"/>
    <col min="9723" max="9723" width="29.140625" bestFit="1" customWidth="1"/>
    <col min="9724" max="9724" width="12.5703125" customWidth="1"/>
    <col min="9726" max="9726" width="24" customWidth="1"/>
    <col min="9727" max="9727" width="22.28515625" customWidth="1"/>
    <col min="9729" max="9729" width="10.140625" bestFit="1" customWidth="1"/>
    <col min="9730" max="9730" width="12.7109375" bestFit="1" customWidth="1"/>
    <col min="9731" max="9731" width="12.140625" bestFit="1" customWidth="1"/>
    <col min="9732" max="9732" width="24.42578125" bestFit="1" customWidth="1"/>
    <col min="9977" max="9977" width="30.42578125" bestFit="1" customWidth="1"/>
    <col min="9978" max="9978" width="12.140625" customWidth="1"/>
    <col min="9979" max="9979" width="29.140625" bestFit="1" customWidth="1"/>
    <col min="9980" max="9980" width="12.5703125" customWidth="1"/>
    <col min="9982" max="9982" width="24" customWidth="1"/>
    <col min="9983" max="9983" width="22.28515625" customWidth="1"/>
    <col min="9985" max="9985" width="10.140625" bestFit="1" customWidth="1"/>
    <col min="9986" max="9986" width="12.7109375" bestFit="1" customWidth="1"/>
    <col min="9987" max="9987" width="12.140625" bestFit="1" customWidth="1"/>
    <col min="9988" max="9988" width="24.42578125" bestFit="1" customWidth="1"/>
    <col min="10233" max="10233" width="30.42578125" bestFit="1" customWidth="1"/>
    <col min="10234" max="10234" width="12.140625" customWidth="1"/>
    <col min="10235" max="10235" width="29.140625" bestFit="1" customWidth="1"/>
    <col min="10236" max="10236" width="12.5703125" customWidth="1"/>
    <col min="10238" max="10238" width="24" customWidth="1"/>
    <col min="10239" max="10239" width="22.28515625" customWidth="1"/>
    <col min="10241" max="10241" width="10.140625" bestFit="1" customWidth="1"/>
    <col min="10242" max="10242" width="12.7109375" bestFit="1" customWidth="1"/>
    <col min="10243" max="10243" width="12.140625" bestFit="1" customWidth="1"/>
    <col min="10244" max="10244" width="24.42578125" bestFit="1" customWidth="1"/>
    <col min="10489" max="10489" width="30.42578125" bestFit="1" customWidth="1"/>
    <col min="10490" max="10490" width="12.140625" customWidth="1"/>
    <col min="10491" max="10491" width="29.140625" bestFit="1" customWidth="1"/>
    <col min="10492" max="10492" width="12.5703125" customWidth="1"/>
    <col min="10494" max="10494" width="24" customWidth="1"/>
    <col min="10495" max="10495" width="22.28515625" customWidth="1"/>
    <col min="10497" max="10497" width="10.140625" bestFit="1" customWidth="1"/>
    <col min="10498" max="10498" width="12.7109375" bestFit="1" customWidth="1"/>
    <col min="10499" max="10499" width="12.140625" bestFit="1" customWidth="1"/>
    <col min="10500" max="10500" width="24.42578125" bestFit="1" customWidth="1"/>
    <col min="10745" max="10745" width="30.42578125" bestFit="1" customWidth="1"/>
    <col min="10746" max="10746" width="12.140625" customWidth="1"/>
    <col min="10747" max="10747" width="29.140625" bestFit="1" customWidth="1"/>
    <col min="10748" max="10748" width="12.5703125" customWidth="1"/>
    <col min="10750" max="10750" width="24" customWidth="1"/>
    <col min="10751" max="10751" width="22.28515625" customWidth="1"/>
    <col min="10753" max="10753" width="10.140625" bestFit="1" customWidth="1"/>
    <col min="10754" max="10754" width="12.7109375" bestFit="1" customWidth="1"/>
    <col min="10755" max="10755" width="12.140625" bestFit="1" customWidth="1"/>
    <col min="10756" max="10756" width="24.42578125" bestFit="1" customWidth="1"/>
    <col min="11001" max="11001" width="30.42578125" bestFit="1" customWidth="1"/>
    <col min="11002" max="11002" width="12.140625" customWidth="1"/>
    <col min="11003" max="11003" width="29.140625" bestFit="1" customWidth="1"/>
    <col min="11004" max="11004" width="12.5703125" customWidth="1"/>
    <col min="11006" max="11006" width="24" customWidth="1"/>
    <col min="11007" max="11007" width="22.28515625" customWidth="1"/>
    <col min="11009" max="11009" width="10.140625" bestFit="1" customWidth="1"/>
    <col min="11010" max="11010" width="12.7109375" bestFit="1" customWidth="1"/>
    <col min="11011" max="11011" width="12.140625" bestFit="1" customWidth="1"/>
    <col min="11012" max="11012" width="24.42578125" bestFit="1" customWidth="1"/>
    <col min="11257" max="11257" width="30.42578125" bestFit="1" customWidth="1"/>
    <col min="11258" max="11258" width="12.140625" customWidth="1"/>
    <col min="11259" max="11259" width="29.140625" bestFit="1" customWidth="1"/>
    <col min="11260" max="11260" width="12.5703125" customWidth="1"/>
    <col min="11262" max="11262" width="24" customWidth="1"/>
    <col min="11263" max="11263" width="22.28515625" customWidth="1"/>
    <col min="11265" max="11265" width="10.140625" bestFit="1" customWidth="1"/>
    <col min="11266" max="11266" width="12.7109375" bestFit="1" customWidth="1"/>
    <col min="11267" max="11267" width="12.140625" bestFit="1" customWidth="1"/>
    <col min="11268" max="11268" width="24.42578125" bestFit="1" customWidth="1"/>
    <col min="11513" max="11513" width="30.42578125" bestFit="1" customWidth="1"/>
    <col min="11514" max="11514" width="12.140625" customWidth="1"/>
    <col min="11515" max="11515" width="29.140625" bestFit="1" customWidth="1"/>
    <col min="11516" max="11516" width="12.5703125" customWidth="1"/>
    <col min="11518" max="11518" width="24" customWidth="1"/>
    <col min="11519" max="11519" width="22.28515625" customWidth="1"/>
    <col min="11521" max="11521" width="10.140625" bestFit="1" customWidth="1"/>
    <col min="11522" max="11522" width="12.7109375" bestFit="1" customWidth="1"/>
    <col min="11523" max="11523" width="12.140625" bestFit="1" customWidth="1"/>
    <col min="11524" max="11524" width="24.42578125" bestFit="1" customWidth="1"/>
    <col min="11769" max="11769" width="30.42578125" bestFit="1" customWidth="1"/>
    <col min="11770" max="11770" width="12.140625" customWidth="1"/>
    <col min="11771" max="11771" width="29.140625" bestFit="1" customWidth="1"/>
    <col min="11772" max="11772" width="12.5703125" customWidth="1"/>
    <col min="11774" max="11774" width="24" customWidth="1"/>
    <col min="11775" max="11775" width="22.28515625" customWidth="1"/>
    <col min="11777" max="11777" width="10.140625" bestFit="1" customWidth="1"/>
    <col min="11778" max="11778" width="12.7109375" bestFit="1" customWidth="1"/>
    <col min="11779" max="11779" width="12.140625" bestFit="1" customWidth="1"/>
    <col min="11780" max="11780" width="24.42578125" bestFit="1" customWidth="1"/>
    <col min="12025" max="12025" width="30.42578125" bestFit="1" customWidth="1"/>
    <col min="12026" max="12026" width="12.140625" customWidth="1"/>
    <col min="12027" max="12027" width="29.140625" bestFit="1" customWidth="1"/>
    <col min="12028" max="12028" width="12.5703125" customWidth="1"/>
    <col min="12030" max="12030" width="24" customWidth="1"/>
    <col min="12031" max="12031" width="22.28515625" customWidth="1"/>
    <col min="12033" max="12033" width="10.140625" bestFit="1" customWidth="1"/>
    <col min="12034" max="12034" width="12.7109375" bestFit="1" customWidth="1"/>
    <col min="12035" max="12035" width="12.140625" bestFit="1" customWidth="1"/>
    <col min="12036" max="12036" width="24.42578125" bestFit="1" customWidth="1"/>
    <col min="12281" max="12281" width="30.42578125" bestFit="1" customWidth="1"/>
    <col min="12282" max="12282" width="12.140625" customWidth="1"/>
    <col min="12283" max="12283" width="29.140625" bestFit="1" customWidth="1"/>
    <col min="12284" max="12284" width="12.5703125" customWidth="1"/>
    <col min="12286" max="12286" width="24" customWidth="1"/>
    <col min="12287" max="12287" width="22.28515625" customWidth="1"/>
    <col min="12289" max="12289" width="10.140625" bestFit="1" customWidth="1"/>
    <col min="12290" max="12290" width="12.7109375" bestFit="1" customWidth="1"/>
    <col min="12291" max="12291" width="12.140625" bestFit="1" customWidth="1"/>
    <col min="12292" max="12292" width="24.42578125" bestFit="1" customWidth="1"/>
    <col min="12537" max="12537" width="30.42578125" bestFit="1" customWidth="1"/>
    <col min="12538" max="12538" width="12.140625" customWidth="1"/>
    <col min="12539" max="12539" width="29.140625" bestFit="1" customWidth="1"/>
    <col min="12540" max="12540" width="12.5703125" customWidth="1"/>
    <col min="12542" max="12542" width="24" customWidth="1"/>
    <col min="12543" max="12543" width="22.28515625" customWidth="1"/>
    <col min="12545" max="12545" width="10.140625" bestFit="1" customWidth="1"/>
    <col min="12546" max="12546" width="12.7109375" bestFit="1" customWidth="1"/>
    <col min="12547" max="12547" width="12.140625" bestFit="1" customWidth="1"/>
    <col min="12548" max="12548" width="24.42578125" bestFit="1" customWidth="1"/>
    <col min="12793" max="12793" width="30.42578125" bestFit="1" customWidth="1"/>
    <col min="12794" max="12794" width="12.140625" customWidth="1"/>
    <col min="12795" max="12795" width="29.140625" bestFit="1" customWidth="1"/>
    <col min="12796" max="12796" width="12.5703125" customWidth="1"/>
    <col min="12798" max="12798" width="24" customWidth="1"/>
    <col min="12799" max="12799" width="22.28515625" customWidth="1"/>
    <col min="12801" max="12801" width="10.140625" bestFit="1" customWidth="1"/>
    <col min="12802" max="12802" width="12.7109375" bestFit="1" customWidth="1"/>
    <col min="12803" max="12803" width="12.140625" bestFit="1" customWidth="1"/>
    <col min="12804" max="12804" width="24.42578125" bestFit="1" customWidth="1"/>
    <col min="13049" max="13049" width="30.42578125" bestFit="1" customWidth="1"/>
    <col min="13050" max="13050" width="12.140625" customWidth="1"/>
    <col min="13051" max="13051" width="29.140625" bestFit="1" customWidth="1"/>
    <col min="13052" max="13052" width="12.5703125" customWidth="1"/>
    <col min="13054" max="13054" width="24" customWidth="1"/>
    <col min="13055" max="13055" width="22.28515625" customWidth="1"/>
    <col min="13057" max="13057" width="10.140625" bestFit="1" customWidth="1"/>
    <col min="13058" max="13058" width="12.7109375" bestFit="1" customWidth="1"/>
    <col min="13059" max="13059" width="12.140625" bestFit="1" customWidth="1"/>
    <col min="13060" max="13060" width="24.42578125" bestFit="1" customWidth="1"/>
    <col min="13305" max="13305" width="30.42578125" bestFit="1" customWidth="1"/>
    <col min="13306" max="13306" width="12.140625" customWidth="1"/>
    <col min="13307" max="13307" width="29.140625" bestFit="1" customWidth="1"/>
    <col min="13308" max="13308" width="12.5703125" customWidth="1"/>
    <col min="13310" max="13310" width="24" customWidth="1"/>
    <col min="13311" max="13311" width="22.28515625" customWidth="1"/>
    <col min="13313" max="13313" width="10.140625" bestFit="1" customWidth="1"/>
    <col min="13314" max="13314" width="12.7109375" bestFit="1" customWidth="1"/>
    <col min="13315" max="13315" width="12.140625" bestFit="1" customWidth="1"/>
    <col min="13316" max="13316" width="24.42578125" bestFit="1" customWidth="1"/>
    <col min="13561" max="13561" width="30.42578125" bestFit="1" customWidth="1"/>
    <col min="13562" max="13562" width="12.140625" customWidth="1"/>
    <col min="13563" max="13563" width="29.140625" bestFit="1" customWidth="1"/>
    <col min="13564" max="13564" width="12.5703125" customWidth="1"/>
    <col min="13566" max="13566" width="24" customWidth="1"/>
    <col min="13567" max="13567" width="22.28515625" customWidth="1"/>
    <col min="13569" max="13569" width="10.140625" bestFit="1" customWidth="1"/>
    <col min="13570" max="13570" width="12.7109375" bestFit="1" customWidth="1"/>
    <col min="13571" max="13571" width="12.140625" bestFit="1" customWidth="1"/>
    <col min="13572" max="13572" width="24.42578125" bestFit="1" customWidth="1"/>
    <col min="13817" max="13817" width="30.42578125" bestFit="1" customWidth="1"/>
    <col min="13818" max="13818" width="12.140625" customWidth="1"/>
    <col min="13819" max="13819" width="29.140625" bestFit="1" customWidth="1"/>
    <col min="13820" max="13820" width="12.5703125" customWidth="1"/>
    <col min="13822" max="13822" width="24" customWidth="1"/>
    <col min="13823" max="13823" width="22.28515625" customWidth="1"/>
    <col min="13825" max="13825" width="10.140625" bestFit="1" customWidth="1"/>
    <col min="13826" max="13826" width="12.7109375" bestFit="1" customWidth="1"/>
    <col min="13827" max="13827" width="12.140625" bestFit="1" customWidth="1"/>
    <col min="13828" max="13828" width="24.42578125" bestFit="1" customWidth="1"/>
    <col min="14073" max="14073" width="30.42578125" bestFit="1" customWidth="1"/>
    <col min="14074" max="14074" width="12.140625" customWidth="1"/>
    <col min="14075" max="14075" width="29.140625" bestFit="1" customWidth="1"/>
    <col min="14076" max="14076" width="12.5703125" customWidth="1"/>
    <col min="14078" max="14078" width="24" customWidth="1"/>
    <col min="14079" max="14079" width="22.28515625" customWidth="1"/>
    <col min="14081" max="14081" width="10.140625" bestFit="1" customWidth="1"/>
    <col min="14082" max="14082" width="12.7109375" bestFit="1" customWidth="1"/>
    <col min="14083" max="14083" width="12.140625" bestFit="1" customWidth="1"/>
    <col min="14084" max="14084" width="24.42578125" bestFit="1" customWidth="1"/>
    <col min="14329" max="14329" width="30.42578125" bestFit="1" customWidth="1"/>
    <col min="14330" max="14330" width="12.140625" customWidth="1"/>
    <col min="14331" max="14331" width="29.140625" bestFit="1" customWidth="1"/>
    <col min="14332" max="14332" width="12.5703125" customWidth="1"/>
    <col min="14334" max="14334" width="24" customWidth="1"/>
    <col min="14335" max="14335" width="22.28515625" customWidth="1"/>
    <col min="14337" max="14337" width="10.140625" bestFit="1" customWidth="1"/>
    <col min="14338" max="14338" width="12.7109375" bestFit="1" customWidth="1"/>
    <col min="14339" max="14339" width="12.140625" bestFit="1" customWidth="1"/>
    <col min="14340" max="14340" width="24.42578125" bestFit="1" customWidth="1"/>
    <col min="14585" max="14585" width="30.42578125" bestFit="1" customWidth="1"/>
    <col min="14586" max="14586" width="12.140625" customWidth="1"/>
    <col min="14587" max="14587" width="29.140625" bestFit="1" customWidth="1"/>
    <col min="14588" max="14588" width="12.5703125" customWidth="1"/>
    <col min="14590" max="14590" width="24" customWidth="1"/>
    <col min="14591" max="14591" width="22.28515625" customWidth="1"/>
    <col min="14593" max="14593" width="10.140625" bestFit="1" customWidth="1"/>
    <col min="14594" max="14594" width="12.7109375" bestFit="1" customWidth="1"/>
    <col min="14595" max="14595" width="12.140625" bestFit="1" customWidth="1"/>
    <col min="14596" max="14596" width="24.42578125" bestFit="1" customWidth="1"/>
    <col min="14841" max="14841" width="30.42578125" bestFit="1" customWidth="1"/>
    <col min="14842" max="14842" width="12.140625" customWidth="1"/>
    <col min="14843" max="14843" width="29.140625" bestFit="1" customWidth="1"/>
    <col min="14844" max="14844" width="12.5703125" customWidth="1"/>
    <col min="14846" max="14846" width="24" customWidth="1"/>
    <col min="14847" max="14847" width="22.28515625" customWidth="1"/>
    <col min="14849" max="14849" width="10.140625" bestFit="1" customWidth="1"/>
    <col min="14850" max="14850" width="12.7109375" bestFit="1" customWidth="1"/>
    <col min="14851" max="14851" width="12.140625" bestFit="1" customWidth="1"/>
    <col min="14852" max="14852" width="24.42578125" bestFit="1" customWidth="1"/>
    <col min="15097" max="15097" width="30.42578125" bestFit="1" customWidth="1"/>
    <col min="15098" max="15098" width="12.140625" customWidth="1"/>
    <col min="15099" max="15099" width="29.140625" bestFit="1" customWidth="1"/>
    <col min="15100" max="15100" width="12.5703125" customWidth="1"/>
    <col min="15102" max="15102" width="24" customWidth="1"/>
    <col min="15103" max="15103" width="22.28515625" customWidth="1"/>
    <col min="15105" max="15105" width="10.140625" bestFit="1" customWidth="1"/>
    <col min="15106" max="15106" width="12.7109375" bestFit="1" customWidth="1"/>
    <col min="15107" max="15107" width="12.140625" bestFit="1" customWidth="1"/>
    <col min="15108" max="15108" width="24.42578125" bestFit="1" customWidth="1"/>
    <col min="15353" max="15353" width="30.42578125" bestFit="1" customWidth="1"/>
    <col min="15354" max="15354" width="12.140625" customWidth="1"/>
    <col min="15355" max="15355" width="29.140625" bestFit="1" customWidth="1"/>
    <col min="15356" max="15356" width="12.5703125" customWidth="1"/>
    <col min="15358" max="15358" width="24" customWidth="1"/>
    <col min="15359" max="15359" width="22.28515625" customWidth="1"/>
    <col min="15361" max="15361" width="10.140625" bestFit="1" customWidth="1"/>
    <col min="15362" max="15362" width="12.7109375" bestFit="1" customWidth="1"/>
    <col min="15363" max="15363" width="12.140625" bestFit="1" customWidth="1"/>
    <col min="15364" max="15364" width="24.42578125" bestFit="1" customWidth="1"/>
    <col min="15609" max="15609" width="30.42578125" bestFit="1" customWidth="1"/>
    <col min="15610" max="15610" width="12.140625" customWidth="1"/>
    <col min="15611" max="15611" width="29.140625" bestFit="1" customWidth="1"/>
    <col min="15612" max="15612" width="12.5703125" customWidth="1"/>
    <col min="15614" max="15614" width="24" customWidth="1"/>
    <col min="15615" max="15615" width="22.28515625" customWidth="1"/>
    <col min="15617" max="15617" width="10.140625" bestFit="1" customWidth="1"/>
    <col min="15618" max="15618" width="12.7109375" bestFit="1" customWidth="1"/>
    <col min="15619" max="15619" width="12.140625" bestFit="1" customWidth="1"/>
    <col min="15620" max="15620" width="24.42578125" bestFit="1" customWidth="1"/>
    <col min="15865" max="15865" width="30.42578125" bestFit="1" customWidth="1"/>
    <col min="15866" max="15866" width="12.140625" customWidth="1"/>
    <col min="15867" max="15867" width="29.140625" bestFit="1" customWidth="1"/>
    <col min="15868" max="15868" width="12.5703125" customWidth="1"/>
    <col min="15870" max="15870" width="24" customWidth="1"/>
    <col min="15871" max="15871" width="22.28515625" customWidth="1"/>
    <col min="15873" max="15873" width="10.140625" bestFit="1" customWidth="1"/>
    <col min="15874" max="15874" width="12.7109375" bestFit="1" customWidth="1"/>
    <col min="15875" max="15875" width="12.140625" bestFit="1" customWidth="1"/>
    <col min="15876" max="15876" width="24.42578125" bestFit="1" customWidth="1"/>
    <col min="16121" max="16121" width="30.42578125" bestFit="1" customWidth="1"/>
    <col min="16122" max="16122" width="12.140625" customWidth="1"/>
    <col min="16123" max="16123" width="29.140625" bestFit="1" customWidth="1"/>
    <col min="16124" max="16124" width="12.5703125" customWidth="1"/>
    <col min="16126" max="16126" width="24" customWidth="1"/>
    <col min="16127" max="16127" width="22.28515625" customWidth="1"/>
    <col min="16129" max="16129" width="10.140625" bestFit="1" customWidth="1"/>
    <col min="16130" max="16130" width="12.7109375" bestFit="1" customWidth="1"/>
    <col min="16131" max="16131" width="12.140625" bestFit="1" customWidth="1"/>
    <col min="16132" max="16132" width="24.42578125" bestFit="1" customWidth="1"/>
  </cols>
  <sheetData>
    <row r="1" spans="1:26" ht="15.75" customHeight="1" thickBot="1" x14ac:dyDescent="0.3">
      <c r="B1" s="123">
        <v>42036</v>
      </c>
      <c r="C1" s="123"/>
      <c r="D1" s="7"/>
      <c r="E1" s="124" t="s">
        <v>8</v>
      </c>
      <c r="F1" s="125"/>
      <c r="G1" s="125"/>
      <c r="H1" s="126"/>
      <c r="I1" s="127"/>
      <c r="J1" s="3">
        <v>30</v>
      </c>
      <c r="K1" s="3">
        <v>30</v>
      </c>
      <c r="L1" s="3">
        <v>30</v>
      </c>
      <c r="M1" s="3">
        <v>35</v>
      </c>
      <c r="N1" s="3">
        <v>30</v>
      </c>
      <c r="O1" s="3">
        <v>25</v>
      </c>
      <c r="P1" s="3">
        <v>25</v>
      </c>
      <c r="Q1" s="3">
        <v>30</v>
      </c>
      <c r="R1" s="3">
        <v>35</v>
      </c>
      <c r="S1" s="3">
        <v>35</v>
      </c>
      <c r="T1" s="3">
        <v>30</v>
      </c>
      <c r="U1" s="3">
        <v>35</v>
      </c>
      <c r="V1" s="3">
        <v>35</v>
      </c>
      <c r="W1" s="3">
        <v>30</v>
      </c>
      <c r="X1" s="3">
        <v>30</v>
      </c>
      <c r="Y1" s="129" t="s">
        <v>25</v>
      </c>
      <c r="Z1" s="25">
        <f ca="1">TODAY()</f>
        <v>45273</v>
      </c>
    </row>
    <row r="2" spans="1:26" ht="30" customHeight="1" x14ac:dyDescent="0.25">
      <c r="B2" s="131" t="s">
        <v>1</v>
      </c>
      <c r="C2" s="132"/>
      <c r="E2" s="35" t="s">
        <v>12</v>
      </c>
      <c r="F2" s="36" t="s">
        <v>9</v>
      </c>
      <c r="G2" s="36" t="s">
        <v>10</v>
      </c>
      <c r="H2" s="4" t="s">
        <v>11</v>
      </c>
      <c r="I2" s="128"/>
      <c r="J2" s="23" t="s">
        <v>22</v>
      </c>
      <c r="K2" s="23" t="s">
        <v>5</v>
      </c>
      <c r="L2" s="23" t="s">
        <v>13</v>
      </c>
      <c r="M2" s="23" t="s">
        <v>14</v>
      </c>
      <c r="N2" s="23" t="s">
        <v>15</v>
      </c>
      <c r="O2" s="23" t="s">
        <v>56</v>
      </c>
      <c r="P2" s="23" t="s">
        <v>55</v>
      </c>
      <c r="Q2" s="23" t="s">
        <v>23</v>
      </c>
      <c r="R2" s="23" t="s">
        <v>57</v>
      </c>
      <c r="S2" s="23" t="s">
        <v>26</v>
      </c>
      <c r="T2" s="23" t="s">
        <v>19</v>
      </c>
      <c r="U2" s="23" t="s">
        <v>20</v>
      </c>
      <c r="V2" s="23" t="s">
        <v>21</v>
      </c>
      <c r="W2" s="23" t="s">
        <v>36</v>
      </c>
      <c r="X2" s="23" t="s">
        <v>41</v>
      </c>
      <c r="Y2" s="130"/>
    </row>
    <row r="3" spans="1:26" ht="15.75" thickBot="1" x14ac:dyDescent="0.3">
      <c r="B3" s="49" t="s">
        <v>0</v>
      </c>
      <c r="C3" s="50" t="s">
        <v>2</v>
      </c>
      <c r="E3" s="32">
        <f>B1</f>
        <v>42036</v>
      </c>
      <c r="F3" s="71"/>
      <c r="G3" s="71"/>
      <c r="H3" s="72"/>
      <c r="I3" s="31">
        <f>E3</f>
        <v>42036</v>
      </c>
      <c r="J3" s="37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9"/>
      <c r="Y3" s="61">
        <f>SUM(J3:X3)</f>
        <v>0</v>
      </c>
    </row>
    <row r="4" spans="1:26" ht="15.75" thickBot="1" x14ac:dyDescent="0.3">
      <c r="B4" s="14" t="s">
        <v>3</v>
      </c>
      <c r="C4" s="15">
        <f>F34</f>
        <v>29570</v>
      </c>
      <c r="E4" s="32">
        <f>E3+1</f>
        <v>42037</v>
      </c>
      <c r="F4" s="71"/>
      <c r="G4" s="71"/>
      <c r="H4" s="72"/>
      <c r="I4" s="31">
        <f t="shared" ref="I4:I33" si="0">E4</f>
        <v>42037</v>
      </c>
      <c r="J4" s="40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2"/>
      <c r="Y4" s="62">
        <f>SUM(J4:X4)</f>
        <v>0</v>
      </c>
    </row>
    <row r="5" spans="1:26" ht="15" customHeight="1" thickBot="1" x14ac:dyDescent="0.3">
      <c r="A5" s="51"/>
      <c r="E5" s="32">
        <f t="shared" ref="E5:E33" si="1">E4+1</f>
        <v>42038</v>
      </c>
      <c r="F5" s="71"/>
      <c r="G5" s="71"/>
      <c r="H5" s="72"/>
      <c r="I5" s="31">
        <f t="shared" si="0"/>
        <v>42038</v>
      </c>
      <c r="J5" s="40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2"/>
      <c r="Y5" s="62">
        <f t="shared" ref="Y5:Y33" si="2">SUM(J5:X5)</f>
        <v>0</v>
      </c>
    </row>
    <row r="6" spans="1:26" ht="15" customHeight="1" x14ac:dyDescent="0.25">
      <c r="A6" s="139" t="s">
        <v>42</v>
      </c>
      <c r="B6" s="76" t="s">
        <v>7</v>
      </c>
      <c r="C6" s="11">
        <v>4000</v>
      </c>
      <c r="E6" s="32">
        <f t="shared" si="1"/>
        <v>42039</v>
      </c>
      <c r="F6" s="71"/>
      <c r="G6" s="71"/>
      <c r="H6" s="72"/>
      <c r="I6" s="31">
        <f t="shared" si="0"/>
        <v>42039</v>
      </c>
      <c r="J6" s="40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2"/>
      <c r="Y6" s="62">
        <f t="shared" si="2"/>
        <v>0</v>
      </c>
    </row>
    <row r="7" spans="1:26" x14ac:dyDescent="0.25">
      <c r="A7" s="140"/>
      <c r="B7" s="77" t="s">
        <v>43</v>
      </c>
      <c r="C7" s="12">
        <v>40</v>
      </c>
      <c r="E7" s="32">
        <f t="shared" si="1"/>
        <v>42040</v>
      </c>
      <c r="F7" s="71">
        <v>3590</v>
      </c>
      <c r="G7" s="71"/>
      <c r="H7" s="72" t="s">
        <v>3</v>
      </c>
      <c r="I7" s="31">
        <f t="shared" si="0"/>
        <v>42040</v>
      </c>
      <c r="J7" s="40">
        <v>5</v>
      </c>
      <c r="K7" s="41">
        <v>9</v>
      </c>
      <c r="L7" s="41">
        <v>1</v>
      </c>
      <c r="M7" s="41">
        <v>22</v>
      </c>
      <c r="N7" s="41">
        <v>14</v>
      </c>
      <c r="O7" s="41">
        <v>7</v>
      </c>
      <c r="P7" s="41">
        <v>12</v>
      </c>
      <c r="Q7" s="41">
        <v>34</v>
      </c>
      <c r="R7" s="41">
        <v>3</v>
      </c>
      <c r="S7" s="41">
        <v>5</v>
      </c>
      <c r="T7" s="41">
        <v>14</v>
      </c>
      <c r="U7" s="41">
        <v>7</v>
      </c>
      <c r="V7" s="41">
        <v>9</v>
      </c>
      <c r="W7" s="41">
        <v>11</v>
      </c>
      <c r="X7" s="42">
        <v>3</v>
      </c>
      <c r="Y7" s="62">
        <f t="shared" si="2"/>
        <v>156</v>
      </c>
    </row>
    <row r="8" spans="1:26" x14ac:dyDescent="0.25">
      <c r="A8" s="140"/>
      <c r="B8" s="77" t="s">
        <v>4</v>
      </c>
      <c r="C8" s="13">
        <f>CEILING(INDEX('[1]Кредит Сатурн'!$C:$C,MATCH(B1,'[1]Кредит Сатурн'!$A:$A,0)),100)</f>
        <v>2800</v>
      </c>
      <c r="E8" s="32">
        <f t="shared" si="1"/>
        <v>42041</v>
      </c>
      <c r="F8" s="71"/>
      <c r="G8" s="71"/>
      <c r="H8" s="72"/>
      <c r="I8" s="31">
        <f t="shared" si="0"/>
        <v>42041</v>
      </c>
      <c r="J8" s="40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2"/>
      <c r="Y8" s="62">
        <f t="shared" si="2"/>
        <v>0</v>
      </c>
    </row>
    <row r="9" spans="1:26" x14ac:dyDescent="0.25">
      <c r="A9" s="140"/>
      <c r="B9" s="77" t="s">
        <v>27</v>
      </c>
      <c r="C9" s="12">
        <f>'[2]Расход ингредиентов'!$D$47</f>
        <v>5700</v>
      </c>
      <c r="E9" s="32">
        <f t="shared" si="1"/>
        <v>42042</v>
      </c>
      <c r="F9" s="71"/>
      <c r="G9" s="71"/>
      <c r="H9" s="72"/>
      <c r="I9" s="31">
        <f t="shared" si="0"/>
        <v>42042</v>
      </c>
      <c r="J9" s="40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2"/>
      <c r="Y9" s="62">
        <f t="shared" si="2"/>
        <v>0</v>
      </c>
    </row>
    <row r="10" spans="1:26" x14ac:dyDescent="0.25">
      <c r="A10" s="140"/>
      <c r="B10" s="77" t="s">
        <v>44</v>
      </c>
      <c r="C10" s="12">
        <f>G13</f>
        <v>650</v>
      </c>
      <c r="E10" s="32">
        <f t="shared" si="1"/>
        <v>42043</v>
      </c>
      <c r="F10" s="71">
        <f>190+250+390</f>
        <v>830</v>
      </c>
      <c r="G10" s="71"/>
      <c r="H10" s="72" t="s">
        <v>84</v>
      </c>
      <c r="I10" s="31">
        <f t="shared" si="0"/>
        <v>42043</v>
      </c>
      <c r="J10" s="40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2"/>
      <c r="Y10" s="62">
        <f t="shared" si="2"/>
        <v>0</v>
      </c>
    </row>
    <row r="11" spans="1:26" x14ac:dyDescent="0.25">
      <c r="A11" s="140"/>
      <c r="B11" s="77" t="s">
        <v>38</v>
      </c>
      <c r="C11" s="12">
        <f>G28</f>
        <v>150</v>
      </c>
      <c r="E11" s="32">
        <f t="shared" si="1"/>
        <v>42044</v>
      </c>
      <c r="F11" s="71"/>
      <c r="G11" s="71"/>
      <c r="H11" s="72"/>
      <c r="I11" s="31">
        <f t="shared" si="0"/>
        <v>42044</v>
      </c>
      <c r="J11" s="40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2"/>
      <c r="Y11" s="62">
        <f t="shared" si="2"/>
        <v>0</v>
      </c>
    </row>
    <row r="12" spans="1:26" x14ac:dyDescent="0.25">
      <c r="A12" s="140"/>
      <c r="B12" s="77" t="s">
        <v>39</v>
      </c>
      <c r="C12" s="12">
        <v>0</v>
      </c>
      <c r="E12" s="32">
        <f t="shared" si="1"/>
        <v>42045</v>
      </c>
      <c r="F12" s="71"/>
      <c r="G12" s="71">
        <v>4000</v>
      </c>
      <c r="H12" s="72" t="s">
        <v>81</v>
      </c>
      <c r="I12" s="31">
        <f t="shared" si="0"/>
        <v>42045</v>
      </c>
      <c r="J12" s="40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2"/>
      <c r="Y12" s="62">
        <f t="shared" si="2"/>
        <v>0</v>
      </c>
    </row>
    <row r="13" spans="1:26" x14ac:dyDescent="0.25">
      <c r="A13" s="140"/>
      <c r="B13" s="77" t="s">
        <v>31</v>
      </c>
      <c r="C13" s="18">
        <v>4400</v>
      </c>
      <c r="E13" s="32">
        <f t="shared" si="1"/>
        <v>42046</v>
      </c>
      <c r="F13" s="71"/>
      <c r="G13" s="71">
        <v>650</v>
      </c>
      <c r="H13" s="72" t="s">
        <v>86</v>
      </c>
      <c r="I13" s="31">
        <f t="shared" si="0"/>
        <v>42046</v>
      </c>
      <c r="J13" s="40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2"/>
      <c r="Y13" s="62">
        <f t="shared" si="2"/>
        <v>0</v>
      </c>
    </row>
    <row r="14" spans="1:26" x14ac:dyDescent="0.25">
      <c r="A14" s="140"/>
      <c r="B14" s="77" t="s">
        <v>46</v>
      </c>
      <c r="C14" s="18">
        <v>500</v>
      </c>
      <c r="E14" s="32">
        <f t="shared" si="1"/>
        <v>42047</v>
      </c>
      <c r="F14" s="71">
        <f>7340+270</f>
        <v>7610</v>
      </c>
      <c r="G14" s="71"/>
      <c r="H14" s="72" t="s">
        <v>85</v>
      </c>
      <c r="I14" s="31">
        <f t="shared" si="0"/>
        <v>42047</v>
      </c>
      <c r="J14" s="40">
        <v>5</v>
      </c>
      <c r="K14" s="41">
        <v>14</v>
      </c>
      <c r="L14" s="41">
        <v>15</v>
      </c>
      <c r="M14" s="41">
        <v>23</v>
      </c>
      <c r="N14" s="41">
        <v>32</v>
      </c>
      <c r="O14" s="41">
        <v>19</v>
      </c>
      <c r="P14" s="41">
        <v>18</v>
      </c>
      <c r="Q14" s="41">
        <v>43</v>
      </c>
      <c r="R14" s="41">
        <v>11</v>
      </c>
      <c r="S14" s="41">
        <v>6</v>
      </c>
      <c r="T14" s="41">
        <v>13</v>
      </c>
      <c r="U14" s="41">
        <v>28</v>
      </c>
      <c r="V14" s="41">
        <v>20</v>
      </c>
      <c r="W14" s="41">
        <v>39</v>
      </c>
      <c r="X14" s="42">
        <v>8</v>
      </c>
      <c r="Y14" s="62">
        <f t="shared" si="2"/>
        <v>294</v>
      </c>
    </row>
    <row r="15" spans="1:26" x14ac:dyDescent="0.25">
      <c r="A15" s="140"/>
      <c r="B15" s="77" t="s">
        <v>45</v>
      </c>
      <c r="C15" s="12">
        <f>G25+G24+G23+G29+G22</f>
        <v>2220</v>
      </c>
      <c r="E15" s="32">
        <f t="shared" si="1"/>
        <v>42048</v>
      </c>
      <c r="F15" s="71"/>
      <c r="G15" s="71"/>
      <c r="H15" s="72"/>
      <c r="I15" s="31">
        <f t="shared" si="0"/>
        <v>42048</v>
      </c>
      <c r="J15" s="40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62">
        <f t="shared" si="2"/>
        <v>0</v>
      </c>
    </row>
    <row r="16" spans="1:26" ht="15.75" thickBot="1" x14ac:dyDescent="0.3">
      <c r="A16" s="141"/>
      <c r="B16" s="78" t="s">
        <v>47</v>
      </c>
      <c r="C16" s="53">
        <f>SUM(C6:C15)</f>
        <v>20460</v>
      </c>
      <c r="E16" s="32">
        <f t="shared" si="1"/>
        <v>42049</v>
      </c>
      <c r="F16" s="71">
        <f>210</f>
        <v>210</v>
      </c>
      <c r="G16" s="71"/>
      <c r="H16" s="72" t="s">
        <v>84</v>
      </c>
      <c r="I16" s="31">
        <f t="shared" si="0"/>
        <v>42049</v>
      </c>
      <c r="J16" s="40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2"/>
      <c r="Y16" s="62">
        <f t="shared" si="2"/>
        <v>0</v>
      </c>
    </row>
    <row r="17" spans="1:25" ht="15.75" thickBot="1" x14ac:dyDescent="0.3">
      <c r="E17" s="32">
        <f t="shared" si="1"/>
        <v>42050</v>
      </c>
      <c r="F17" s="71"/>
      <c r="G17" s="71"/>
      <c r="H17" s="72"/>
      <c r="I17" s="31">
        <f t="shared" si="0"/>
        <v>42050</v>
      </c>
      <c r="J17" s="40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2"/>
      <c r="Y17" s="62">
        <f t="shared" si="2"/>
        <v>0</v>
      </c>
    </row>
    <row r="18" spans="1:25" ht="15.75" thickBot="1" x14ac:dyDescent="0.3">
      <c r="B18" s="16" t="s">
        <v>32</v>
      </c>
      <c r="C18" s="17">
        <f>C4-C16</f>
        <v>9110</v>
      </c>
      <c r="E18" s="32">
        <f t="shared" si="1"/>
        <v>42051</v>
      </c>
      <c r="F18" s="71"/>
      <c r="G18" s="71"/>
      <c r="H18" s="72"/>
      <c r="I18" s="31">
        <f t="shared" si="0"/>
        <v>42051</v>
      </c>
      <c r="J18" s="40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2"/>
      <c r="Y18" s="62">
        <f t="shared" si="2"/>
        <v>0</v>
      </c>
    </row>
    <row r="19" spans="1:25" ht="15.75" thickBot="1" x14ac:dyDescent="0.3">
      <c r="E19" s="32">
        <f t="shared" si="1"/>
        <v>42052</v>
      </c>
      <c r="F19" s="71"/>
      <c r="G19" s="71"/>
      <c r="H19" s="72"/>
      <c r="I19" s="31">
        <f t="shared" si="0"/>
        <v>42052</v>
      </c>
      <c r="J19" s="40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2"/>
      <c r="Y19" s="62">
        <f t="shared" si="2"/>
        <v>0</v>
      </c>
    </row>
    <row r="20" spans="1:25" ht="15.75" thickBot="1" x14ac:dyDescent="0.3">
      <c r="B20" s="16" t="s">
        <v>48</v>
      </c>
      <c r="C20" s="17">
        <f>CEILING(C6+C8,100)</f>
        <v>6800</v>
      </c>
      <c r="E20" s="32">
        <f t="shared" si="1"/>
        <v>42053</v>
      </c>
      <c r="F20" s="71"/>
      <c r="G20" s="71"/>
      <c r="H20" s="72"/>
      <c r="I20" s="31">
        <f t="shared" si="0"/>
        <v>42053</v>
      </c>
      <c r="J20" s="40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2"/>
      <c r="Y20" s="62">
        <f t="shared" si="2"/>
        <v>0</v>
      </c>
    </row>
    <row r="21" spans="1:25" ht="15.75" thickBot="1" x14ac:dyDescent="0.3">
      <c r="E21" s="32">
        <f>E20+1</f>
        <v>42054</v>
      </c>
      <c r="F21" s="71"/>
      <c r="G21" s="71"/>
      <c r="H21" s="72"/>
      <c r="I21" s="31">
        <f t="shared" si="0"/>
        <v>42054</v>
      </c>
      <c r="J21" s="40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2"/>
      <c r="Y21" s="62">
        <f t="shared" si="2"/>
        <v>0</v>
      </c>
    </row>
    <row r="22" spans="1:25" ht="15.75" thickBot="1" x14ac:dyDescent="0.3">
      <c r="B22" s="52" t="s">
        <v>53</v>
      </c>
      <c r="C22" s="63">
        <f>C18</f>
        <v>9110</v>
      </c>
      <c r="E22" s="32">
        <f t="shared" si="1"/>
        <v>42055</v>
      </c>
      <c r="F22" s="71"/>
      <c r="G22" s="71">
        <v>300</v>
      </c>
      <c r="H22" s="72" t="s">
        <v>93</v>
      </c>
      <c r="I22" s="31">
        <f t="shared" si="0"/>
        <v>42055</v>
      </c>
      <c r="J22" s="40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2"/>
      <c r="Y22" s="62">
        <f t="shared" si="2"/>
        <v>0</v>
      </c>
    </row>
    <row r="23" spans="1:25" ht="15" customHeight="1" x14ac:dyDescent="0.25">
      <c r="A23" s="133" t="s">
        <v>49</v>
      </c>
      <c r="B23" s="58" t="s">
        <v>50</v>
      </c>
      <c r="C23" s="59">
        <v>0</v>
      </c>
      <c r="E23" s="32">
        <f t="shared" si="1"/>
        <v>42056</v>
      </c>
      <c r="F23" s="71"/>
      <c r="G23" s="71">
        <v>500</v>
      </c>
      <c r="H23" s="72" t="s">
        <v>89</v>
      </c>
      <c r="I23" s="31">
        <f t="shared" si="0"/>
        <v>42056</v>
      </c>
      <c r="J23" s="40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2"/>
      <c r="Y23" s="62">
        <f t="shared" si="2"/>
        <v>0</v>
      </c>
    </row>
    <row r="24" spans="1:25" x14ac:dyDescent="0.25">
      <c r="A24" s="134"/>
      <c r="B24" s="54" t="s">
        <v>40</v>
      </c>
      <c r="C24" s="55">
        <v>0</v>
      </c>
      <c r="E24" s="32">
        <f t="shared" si="1"/>
        <v>42057</v>
      </c>
      <c r="F24" s="71"/>
      <c r="G24" s="71">
        <v>300</v>
      </c>
      <c r="H24" s="72" t="s">
        <v>88</v>
      </c>
      <c r="I24" s="31">
        <f t="shared" si="0"/>
        <v>42057</v>
      </c>
      <c r="J24" s="40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2"/>
      <c r="Y24" s="62">
        <f t="shared" si="2"/>
        <v>0</v>
      </c>
    </row>
    <row r="25" spans="1:25" x14ac:dyDescent="0.25">
      <c r="A25" s="134"/>
      <c r="B25" s="54" t="s">
        <v>51</v>
      </c>
      <c r="C25" s="55">
        <v>0</v>
      </c>
      <c r="E25" s="32">
        <f t="shared" si="1"/>
        <v>42058</v>
      </c>
      <c r="F25" s="71"/>
      <c r="G25" s="71">
        <v>120</v>
      </c>
      <c r="H25" s="72" t="s">
        <v>87</v>
      </c>
      <c r="I25" s="31">
        <f t="shared" si="0"/>
        <v>42058</v>
      </c>
      <c r="J25" s="40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2"/>
      <c r="Y25" s="62">
        <f t="shared" si="2"/>
        <v>0</v>
      </c>
    </row>
    <row r="26" spans="1:25" ht="15.75" thickBot="1" x14ac:dyDescent="0.3">
      <c r="A26" s="134"/>
      <c r="B26" s="57" t="s">
        <v>52</v>
      </c>
      <c r="C26" s="56">
        <v>0</v>
      </c>
      <c r="E26" s="32">
        <f t="shared" si="1"/>
        <v>42059</v>
      </c>
      <c r="F26" s="71">
        <v>7510</v>
      </c>
      <c r="G26" s="71"/>
      <c r="H26" s="72" t="s">
        <v>3</v>
      </c>
      <c r="I26" s="31">
        <f t="shared" si="0"/>
        <v>42059</v>
      </c>
      <c r="J26" s="40">
        <v>14</v>
      </c>
      <c r="K26" s="41">
        <v>10</v>
      </c>
      <c r="L26" s="41">
        <v>10</v>
      </c>
      <c r="M26" s="41">
        <v>39</v>
      </c>
      <c r="N26" s="41">
        <v>26</v>
      </c>
      <c r="O26" s="41">
        <v>19</v>
      </c>
      <c r="P26" s="41">
        <v>26</v>
      </c>
      <c r="Q26" s="41">
        <v>14</v>
      </c>
      <c r="R26" s="41">
        <v>24</v>
      </c>
      <c r="S26" s="41">
        <v>22</v>
      </c>
      <c r="T26" s="41">
        <v>20</v>
      </c>
      <c r="U26" s="41">
        <v>26</v>
      </c>
      <c r="V26" s="41">
        <v>25</v>
      </c>
      <c r="W26" s="41">
        <v>18</v>
      </c>
      <c r="X26" s="42">
        <v>8</v>
      </c>
      <c r="Y26" s="62">
        <f t="shared" si="2"/>
        <v>301</v>
      </c>
    </row>
    <row r="27" spans="1:25" ht="15.75" thickBot="1" x14ac:dyDescent="0.3">
      <c r="A27" s="134"/>
      <c r="B27" s="52" t="s">
        <v>54</v>
      </c>
      <c r="C27" s="60">
        <f>C22-SUM(C23:C26)</f>
        <v>9110</v>
      </c>
      <c r="E27" s="32">
        <f t="shared" si="1"/>
        <v>42060</v>
      </c>
      <c r="F27" s="71">
        <v>3500</v>
      </c>
      <c r="G27" s="71"/>
      <c r="H27" s="72" t="s">
        <v>92</v>
      </c>
      <c r="I27" s="31">
        <f t="shared" si="0"/>
        <v>42060</v>
      </c>
      <c r="J27" s="40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2"/>
      <c r="Y27" s="62">
        <f t="shared" si="2"/>
        <v>0</v>
      </c>
    </row>
    <row r="28" spans="1:25" ht="15.75" thickBot="1" x14ac:dyDescent="0.3">
      <c r="A28" s="135"/>
      <c r="B28" s="33"/>
      <c r="C28" s="34"/>
      <c r="E28" s="32">
        <f t="shared" si="1"/>
        <v>42061</v>
      </c>
      <c r="F28" s="71"/>
      <c r="G28" s="29">
        <v>150</v>
      </c>
      <c r="H28" s="72" t="s">
        <v>90</v>
      </c>
      <c r="I28" s="31">
        <f t="shared" si="0"/>
        <v>42061</v>
      </c>
      <c r="J28" s="40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2"/>
      <c r="Y28" s="62">
        <f t="shared" si="2"/>
        <v>0</v>
      </c>
    </row>
    <row r="29" spans="1:25" ht="15.75" thickBot="1" x14ac:dyDescent="0.3">
      <c r="B29" s="16" t="s">
        <v>28</v>
      </c>
      <c r="C29" s="17">
        <f>'2'!G35+'1'!C29</f>
        <v>44945</v>
      </c>
      <c r="E29" s="32">
        <f t="shared" si="1"/>
        <v>42062</v>
      </c>
      <c r="F29" s="71"/>
      <c r="G29" s="71">
        <v>1000</v>
      </c>
      <c r="H29" s="72" t="s">
        <v>91</v>
      </c>
      <c r="I29" s="31">
        <f t="shared" si="0"/>
        <v>42062</v>
      </c>
      <c r="J29" s="40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2"/>
      <c r="Y29" s="62">
        <f t="shared" si="2"/>
        <v>0</v>
      </c>
    </row>
    <row r="30" spans="1:25" ht="15.75" thickBot="1" x14ac:dyDescent="0.3">
      <c r="B30" s="46"/>
      <c r="C30" s="47"/>
      <c r="E30" s="32">
        <f t="shared" si="1"/>
        <v>42063</v>
      </c>
      <c r="F30" s="29">
        <f>6320</f>
        <v>6320</v>
      </c>
      <c r="G30" s="29"/>
      <c r="H30" s="72" t="s">
        <v>3</v>
      </c>
      <c r="I30" s="31">
        <f t="shared" si="0"/>
        <v>42063</v>
      </c>
      <c r="J30" s="40">
        <v>13</v>
      </c>
      <c r="K30" s="41">
        <v>13</v>
      </c>
      <c r="L30" s="41">
        <v>3</v>
      </c>
      <c r="M30" s="41">
        <v>26</v>
      </c>
      <c r="N30" s="41">
        <v>24</v>
      </c>
      <c r="O30" s="41">
        <v>22</v>
      </c>
      <c r="P30" s="41">
        <v>15</v>
      </c>
      <c r="Q30" s="41">
        <v>26</v>
      </c>
      <c r="R30" s="41">
        <v>15</v>
      </c>
      <c r="S30" s="41">
        <v>24</v>
      </c>
      <c r="T30" s="41">
        <v>13</v>
      </c>
      <c r="U30" s="41">
        <v>15</v>
      </c>
      <c r="V30" s="41">
        <v>15</v>
      </c>
      <c r="W30" s="41">
        <v>6</v>
      </c>
      <c r="X30" s="42">
        <v>12</v>
      </c>
      <c r="Y30" s="62">
        <f t="shared" si="2"/>
        <v>242</v>
      </c>
    </row>
    <row r="31" spans="1:25" ht="15.75" hidden="1" thickBot="1" x14ac:dyDescent="0.3">
      <c r="B31" s="43"/>
      <c r="C31" s="48"/>
      <c r="E31" s="32">
        <f t="shared" si="1"/>
        <v>42064</v>
      </c>
      <c r="F31" s="29"/>
      <c r="G31" s="29"/>
      <c r="H31" s="72"/>
      <c r="I31" s="31">
        <f t="shared" si="0"/>
        <v>42064</v>
      </c>
      <c r="J31" s="40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2"/>
      <c r="Y31" s="62">
        <f t="shared" si="2"/>
        <v>0</v>
      </c>
    </row>
    <row r="32" spans="1:25" ht="15.75" hidden="1" thickBot="1" x14ac:dyDescent="0.3">
      <c r="B32" s="43"/>
      <c r="C32" s="48"/>
      <c r="E32" s="32">
        <f t="shared" si="1"/>
        <v>42065</v>
      </c>
      <c r="F32" s="29"/>
      <c r="G32" s="29"/>
      <c r="H32" s="72"/>
      <c r="I32" s="31">
        <f t="shared" si="0"/>
        <v>42065</v>
      </c>
      <c r="J32" s="40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2"/>
      <c r="Y32" s="62">
        <f t="shared" si="2"/>
        <v>0</v>
      </c>
    </row>
    <row r="33" spans="2:25" ht="15.75" hidden="1" thickBot="1" x14ac:dyDescent="0.3">
      <c r="B33" s="33"/>
      <c r="C33" s="34"/>
      <c r="E33" s="32">
        <f t="shared" si="1"/>
        <v>42066</v>
      </c>
      <c r="F33" s="29"/>
      <c r="G33" s="29"/>
      <c r="H33" s="72"/>
      <c r="I33" s="31">
        <f t="shared" si="0"/>
        <v>42066</v>
      </c>
      <c r="J33" s="40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2"/>
      <c r="Y33" s="62">
        <f t="shared" si="2"/>
        <v>0</v>
      </c>
    </row>
    <row r="34" spans="2:25" ht="15.75" thickBot="1" x14ac:dyDescent="0.3">
      <c r="B34" s="43"/>
      <c r="C34" s="48"/>
      <c r="E34" s="19" t="s">
        <v>6</v>
      </c>
      <c r="F34" s="6">
        <f>SUM(F3:F33)</f>
        <v>29570</v>
      </c>
      <c r="G34" s="6">
        <f>SUM(G3:G33)</f>
        <v>7020</v>
      </c>
      <c r="H34" s="2"/>
      <c r="I34" s="22" t="s">
        <v>33</v>
      </c>
      <c r="J34" s="24">
        <f t="shared" ref="J34:Y34" si="3">SUM(J3:J33)</f>
        <v>37</v>
      </c>
      <c r="K34" s="24">
        <f t="shared" si="3"/>
        <v>46</v>
      </c>
      <c r="L34" s="24">
        <f t="shared" si="3"/>
        <v>29</v>
      </c>
      <c r="M34" s="24">
        <f t="shared" si="3"/>
        <v>110</v>
      </c>
      <c r="N34" s="24">
        <f t="shared" si="3"/>
        <v>96</v>
      </c>
      <c r="O34" s="24">
        <f t="shared" si="3"/>
        <v>67</v>
      </c>
      <c r="P34" s="24">
        <f t="shared" si="3"/>
        <v>71</v>
      </c>
      <c r="Q34" s="24">
        <f t="shared" si="3"/>
        <v>117</v>
      </c>
      <c r="R34" s="24">
        <f t="shared" si="3"/>
        <v>53</v>
      </c>
      <c r="S34" s="24">
        <f t="shared" si="3"/>
        <v>57</v>
      </c>
      <c r="T34" s="24">
        <f t="shared" si="3"/>
        <v>60</v>
      </c>
      <c r="U34" s="24">
        <f t="shared" si="3"/>
        <v>76</v>
      </c>
      <c r="V34" s="24">
        <f t="shared" si="3"/>
        <v>69</v>
      </c>
      <c r="W34" s="24">
        <f t="shared" si="3"/>
        <v>74</v>
      </c>
      <c r="X34" s="24">
        <f t="shared" si="3"/>
        <v>31</v>
      </c>
      <c r="Y34" s="24">
        <f t="shared" si="3"/>
        <v>993</v>
      </c>
    </row>
    <row r="35" spans="2:25" ht="15.75" thickBot="1" x14ac:dyDescent="0.3">
      <c r="B35" s="43"/>
      <c r="C35" s="48"/>
      <c r="E35" s="136" t="s">
        <v>37</v>
      </c>
      <c r="F35" s="137"/>
      <c r="G35" s="1">
        <f>F34-G34</f>
        <v>22550</v>
      </c>
      <c r="I35"/>
    </row>
    <row r="36" spans="2:25" ht="24" x14ac:dyDescent="0.25">
      <c r="B36" s="43"/>
      <c r="C36" s="48"/>
      <c r="J36" s="8" t="s">
        <v>22</v>
      </c>
      <c r="K36" s="8" t="s">
        <v>5</v>
      </c>
      <c r="L36" s="8" t="s">
        <v>13</v>
      </c>
      <c r="M36" s="8" t="s">
        <v>14</v>
      </c>
      <c r="N36" s="8" t="s">
        <v>15</v>
      </c>
      <c r="O36" s="8" t="s">
        <v>16</v>
      </c>
      <c r="P36" s="8" t="s">
        <v>17</v>
      </c>
      <c r="Q36" s="8" t="s">
        <v>23</v>
      </c>
      <c r="R36" s="8" t="s">
        <v>24</v>
      </c>
      <c r="S36" s="8" t="s">
        <v>26</v>
      </c>
      <c r="T36" s="8" t="s">
        <v>19</v>
      </c>
      <c r="U36" s="8" t="s">
        <v>20</v>
      </c>
      <c r="V36" s="8" t="s">
        <v>21</v>
      </c>
      <c r="W36" s="8" t="s">
        <v>36</v>
      </c>
      <c r="X36" s="8" t="s">
        <v>18</v>
      </c>
    </row>
    <row r="37" spans="2:25" ht="15.75" thickBot="1" x14ac:dyDescent="0.3">
      <c r="B37" s="43"/>
      <c r="C37" s="48"/>
      <c r="J37" s="9">
        <f>J34</f>
        <v>37</v>
      </c>
      <c r="K37" s="9">
        <f t="shared" ref="K37:X37" si="4">K34</f>
        <v>46</v>
      </c>
      <c r="L37" s="9">
        <f t="shared" si="4"/>
        <v>29</v>
      </c>
      <c r="M37" s="9">
        <f t="shared" si="4"/>
        <v>110</v>
      </c>
      <c r="N37" s="9">
        <f t="shared" si="4"/>
        <v>96</v>
      </c>
      <c r="O37" s="9">
        <f t="shared" si="4"/>
        <v>67</v>
      </c>
      <c r="P37" s="9">
        <f t="shared" si="4"/>
        <v>71</v>
      </c>
      <c r="Q37" s="9">
        <f t="shared" si="4"/>
        <v>117</v>
      </c>
      <c r="R37" s="9">
        <f t="shared" si="4"/>
        <v>53</v>
      </c>
      <c r="S37" s="9">
        <f t="shared" si="4"/>
        <v>57</v>
      </c>
      <c r="T37" s="9">
        <f t="shared" si="4"/>
        <v>60</v>
      </c>
      <c r="U37" s="9">
        <f t="shared" si="4"/>
        <v>76</v>
      </c>
      <c r="V37" s="9">
        <f t="shared" si="4"/>
        <v>69</v>
      </c>
      <c r="W37" s="9">
        <f t="shared" si="4"/>
        <v>74</v>
      </c>
      <c r="X37" s="9">
        <f t="shared" si="4"/>
        <v>31</v>
      </c>
    </row>
    <row r="38" spans="2:25" x14ac:dyDescent="0.25">
      <c r="B38" s="45"/>
      <c r="C38" s="45"/>
      <c r="I38" s="21"/>
      <c r="J38" s="10">
        <f>J34*'[3]Себестоимость '!D17</f>
        <v>344.40833333333336</v>
      </c>
      <c r="K38" s="10">
        <f>K34*'[3]Себестоимость '!E17</f>
        <v>381.49333333333334</v>
      </c>
      <c r="L38" s="10">
        <f>L34*'[3]Себестоимость '!F17</f>
        <v>257.47166666666669</v>
      </c>
      <c r="M38" s="10">
        <f>M34*'[3]Себестоимость '!G17</f>
        <v>1056.3666666666666</v>
      </c>
      <c r="N38" s="10">
        <f>N34*'[3]Себестоимость '!H17</f>
        <v>874.78399999999988</v>
      </c>
      <c r="O38" s="10">
        <f>O34*'[3]Себестоимость '!I17</f>
        <v>242.76333333333335</v>
      </c>
      <c r="P38" s="10" t="e">
        <f>P34*'[3]Себестоимость '!J17</f>
        <v>#REF!</v>
      </c>
      <c r="Q38" s="10">
        <f>Q34*'[3]Себестоимость '!K17</f>
        <v>376.73999999999995</v>
      </c>
      <c r="R38" s="10">
        <f>R34*'[3]Себестоимость '!L17</f>
        <v>240.09</v>
      </c>
      <c r="S38" s="10">
        <f>S34*'[3]Себестоимость '!M17</f>
        <v>195.339</v>
      </c>
      <c r="T38" s="10">
        <f>T34*'[3]Себестоимость '!N17</f>
        <v>222.3</v>
      </c>
      <c r="U38" s="10">
        <f>U34*'[3]Себестоимость '!O17</f>
        <v>388.74</v>
      </c>
      <c r="V38" s="10">
        <f>V34*'[3]Себестоимость '!P17</f>
        <v>305.66999999999996</v>
      </c>
      <c r="W38" s="10">
        <f>W34*'[3]Себестоимость '!Q17</f>
        <v>360.00999999999993</v>
      </c>
      <c r="X38" s="10">
        <f>X34*'[3]Себестоимость '!R17</f>
        <v>146.47499999999999</v>
      </c>
      <c r="Y38" s="73" t="s">
        <v>30</v>
      </c>
    </row>
    <row r="39" spans="2:25" ht="15.75" thickBot="1" x14ac:dyDescent="0.3">
      <c r="B39" s="138"/>
      <c r="C39" s="138"/>
      <c r="Y39" s="74" t="s">
        <v>29</v>
      </c>
    </row>
    <row r="40" spans="2:25" x14ac:dyDescent="0.25">
      <c r="B40" s="46"/>
      <c r="C40" s="47"/>
    </row>
    <row r="41" spans="2:25" x14ac:dyDescent="0.25">
      <c r="B41" s="43"/>
      <c r="C41" s="48"/>
    </row>
    <row r="42" spans="2:25" x14ac:dyDescent="0.25">
      <c r="B42" s="45"/>
      <c r="C42" s="45"/>
    </row>
    <row r="43" spans="2:25" x14ac:dyDescent="0.25">
      <c r="B43" s="138"/>
      <c r="C43" s="138"/>
    </row>
    <row r="44" spans="2:25" x14ac:dyDescent="0.25">
      <c r="B44" s="33"/>
      <c r="C44" s="34"/>
    </row>
    <row r="45" spans="2:25" x14ac:dyDescent="0.25">
      <c r="B45" s="43"/>
      <c r="C45" s="44"/>
    </row>
  </sheetData>
  <mergeCells count="10">
    <mergeCell ref="A23:A28"/>
    <mergeCell ref="E35:F35"/>
    <mergeCell ref="B39:C39"/>
    <mergeCell ref="B43:C43"/>
    <mergeCell ref="A6:A16"/>
    <mergeCell ref="B1:C1"/>
    <mergeCell ref="E1:H1"/>
    <mergeCell ref="I1:I2"/>
    <mergeCell ref="Y1:Y2"/>
    <mergeCell ref="B2:C2"/>
  </mergeCells>
  <conditionalFormatting sqref="Y3:Y33">
    <cfRule type="cellIs" dxfId="86" priority="6" operator="equal">
      <formula>0</formula>
    </cfRule>
  </conditionalFormatting>
  <conditionalFormatting sqref="E3:E33">
    <cfRule type="cellIs" dxfId="85" priority="5" operator="equal">
      <formula>$Z$1</formula>
    </cfRule>
  </conditionalFormatting>
  <conditionalFormatting sqref="I3:I33">
    <cfRule type="cellIs" dxfId="84" priority="4" operator="equal">
      <formula>$Z$1</formula>
    </cfRule>
  </conditionalFormatting>
  <conditionalFormatting sqref="I34">
    <cfRule type="expression" dxfId="83" priority="3">
      <formula>$E$3:$E$32=TODAY()</formula>
    </cfRule>
  </conditionalFormatting>
  <conditionalFormatting sqref="I34">
    <cfRule type="cellIs" dxfId="82" priority="2" operator="equal">
      <formula>$Z$1</formula>
    </cfRule>
  </conditionalFormatting>
  <conditionalFormatting sqref="E28:F28 I28:Y28 E3:Y27 E29:Y33">
    <cfRule type="expression" dxfId="81" priority="7">
      <formula>$E3=$Z$1</formula>
    </cfRule>
  </conditionalFormatting>
  <conditionalFormatting sqref="G28:H28">
    <cfRule type="expression" dxfId="80" priority="1">
      <formula>$E28=$Z$1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Z45"/>
  <sheetViews>
    <sheetView zoomScale="85" zoomScaleNormal="85" workbookViewId="0">
      <pane ySplit="2" topLeftCell="A3" activePane="bottomLeft" state="frozen"/>
      <selection activeCell="C14" sqref="C14"/>
      <selection pane="bottomLeft" activeCell="C15" sqref="C15"/>
    </sheetView>
  </sheetViews>
  <sheetFormatPr defaultRowHeight="15" x14ac:dyDescent="0.25"/>
  <cols>
    <col min="1" max="1" width="6.5703125" customWidth="1"/>
    <col min="2" max="2" width="30.42578125" bestFit="1" customWidth="1"/>
    <col min="3" max="3" width="15.28515625" customWidth="1"/>
    <col min="5" max="5" width="8.42578125" bestFit="1" customWidth="1"/>
    <col min="6" max="6" width="12.7109375" bestFit="1" customWidth="1"/>
    <col min="7" max="7" width="12.140625" bestFit="1" customWidth="1"/>
    <col min="8" max="8" width="48.42578125" bestFit="1" customWidth="1"/>
    <col min="9" max="9" width="8.7109375" style="20" bestFit="1" customWidth="1"/>
    <col min="10" max="10" width="12.28515625" customWidth="1"/>
    <col min="11" max="11" width="11.28515625" customWidth="1"/>
    <col min="12" max="12" width="10.140625" customWidth="1"/>
    <col min="13" max="16" width="9.28515625" bestFit="1" customWidth="1"/>
    <col min="17" max="17" width="9.85546875" bestFit="1" customWidth="1"/>
    <col min="18" max="22" width="9.28515625" bestFit="1" customWidth="1"/>
    <col min="23" max="23" width="11" customWidth="1"/>
    <col min="24" max="24" width="10.5703125" bestFit="1" customWidth="1"/>
    <col min="25" max="25" width="9.7109375" style="5" customWidth="1"/>
    <col min="26" max="26" width="10.28515625" bestFit="1" customWidth="1"/>
    <col min="249" max="249" width="30.42578125" bestFit="1" customWidth="1"/>
    <col min="250" max="250" width="12.140625" customWidth="1"/>
    <col min="251" max="251" width="29.140625" bestFit="1" customWidth="1"/>
    <col min="252" max="252" width="12.5703125" customWidth="1"/>
    <col min="254" max="254" width="24" customWidth="1"/>
    <col min="255" max="255" width="22.28515625" customWidth="1"/>
    <col min="257" max="257" width="10.140625" bestFit="1" customWidth="1"/>
    <col min="258" max="258" width="12.7109375" bestFit="1" customWidth="1"/>
    <col min="259" max="259" width="12.140625" bestFit="1" customWidth="1"/>
    <col min="260" max="260" width="24.42578125" bestFit="1" customWidth="1"/>
    <col min="505" max="505" width="30.42578125" bestFit="1" customWidth="1"/>
    <col min="506" max="506" width="12.140625" customWidth="1"/>
    <col min="507" max="507" width="29.140625" bestFit="1" customWidth="1"/>
    <col min="508" max="508" width="12.5703125" customWidth="1"/>
    <col min="510" max="510" width="24" customWidth="1"/>
    <col min="511" max="511" width="22.28515625" customWidth="1"/>
    <col min="513" max="513" width="10.140625" bestFit="1" customWidth="1"/>
    <col min="514" max="514" width="12.7109375" bestFit="1" customWidth="1"/>
    <col min="515" max="515" width="12.140625" bestFit="1" customWidth="1"/>
    <col min="516" max="516" width="24.42578125" bestFit="1" customWidth="1"/>
    <col min="761" max="761" width="30.42578125" bestFit="1" customWidth="1"/>
    <col min="762" max="762" width="12.140625" customWidth="1"/>
    <col min="763" max="763" width="29.140625" bestFit="1" customWidth="1"/>
    <col min="764" max="764" width="12.5703125" customWidth="1"/>
    <col min="766" max="766" width="24" customWidth="1"/>
    <col min="767" max="767" width="22.28515625" customWidth="1"/>
    <col min="769" max="769" width="10.140625" bestFit="1" customWidth="1"/>
    <col min="770" max="770" width="12.7109375" bestFit="1" customWidth="1"/>
    <col min="771" max="771" width="12.140625" bestFit="1" customWidth="1"/>
    <col min="772" max="772" width="24.42578125" bestFit="1" customWidth="1"/>
    <col min="1017" max="1017" width="30.42578125" bestFit="1" customWidth="1"/>
    <col min="1018" max="1018" width="12.140625" customWidth="1"/>
    <col min="1019" max="1019" width="29.140625" bestFit="1" customWidth="1"/>
    <col min="1020" max="1020" width="12.5703125" customWidth="1"/>
    <col min="1022" max="1022" width="24" customWidth="1"/>
    <col min="1023" max="1023" width="22.28515625" customWidth="1"/>
    <col min="1025" max="1025" width="10.140625" bestFit="1" customWidth="1"/>
    <col min="1026" max="1026" width="12.7109375" bestFit="1" customWidth="1"/>
    <col min="1027" max="1027" width="12.140625" bestFit="1" customWidth="1"/>
    <col min="1028" max="1028" width="24.42578125" bestFit="1" customWidth="1"/>
    <col min="1273" max="1273" width="30.42578125" bestFit="1" customWidth="1"/>
    <col min="1274" max="1274" width="12.140625" customWidth="1"/>
    <col min="1275" max="1275" width="29.140625" bestFit="1" customWidth="1"/>
    <col min="1276" max="1276" width="12.5703125" customWidth="1"/>
    <col min="1278" max="1278" width="24" customWidth="1"/>
    <col min="1279" max="1279" width="22.28515625" customWidth="1"/>
    <col min="1281" max="1281" width="10.140625" bestFit="1" customWidth="1"/>
    <col min="1282" max="1282" width="12.7109375" bestFit="1" customWidth="1"/>
    <col min="1283" max="1283" width="12.140625" bestFit="1" customWidth="1"/>
    <col min="1284" max="1284" width="24.42578125" bestFit="1" customWidth="1"/>
    <col min="1529" max="1529" width="30.42578125" bestFit="1" customWidth="1"/>
    <col min="1530" max="1530" width="12.140625" customWidth="1"/>
    <col min="1531" max="1531" width="29.140625" bestFit="1" customWidth="1"/>
    <col min="1532" max="1532" width="12.5703125" customWidth="1"/>
    <col min="1534" max="1534" width="24" customWidth="1"/>
    <col min="1535" max="1535" width="22.28515625" customWidth="1"/>
    <col min="1537" max="1537" width="10.140625" bestFit="1" customWidth="1"/>
    <col min="1538" max="1538" width="12.7109375" bestFit="1" customWidth="1"/>
    <col min="1539" max="1539" width="12.140625" bestFit="1" customWidth="1"/>
    <col min="1540" max="1540" width="24.42578125" bestFit="1" customWidth="1"/>
    <col min="1785" max="1785" width="30.42578125" bestFit="1" customWidth="1"/>
    <col min="1786" max="1786" width="12.140625" customWidth="1"/>
    <col min="1787" max="1787" width="29.140625" bestFit="1" customWidth="1"/>
    <col min="1788" max="1788" width="12.5703125" customWidth="1"/>
    <col min="1790" max="1790" width="24" customWidth="1"/>
    <col min="1791" max="1791" width="22.28515625" customWidth="1"/>
    <col min="1793" max="1793" width="10.140625" bestFit="1" customWidth="1"/>
    <col min="1794" max="1794" width="12.7109375" bestFit="1" customWidth="1"/>
    <col min="1795" max="1795" width="12.140625" bestFit="1" customWidth="1"/>
    <col min="1796" max="1796" width="24.42578125" bestFit="1" customWidth="1"/>
    <col min="2041" max="2041" width="30.42578125" bestFit="1" customWidth="1"/>
    <col min="2042" max="2042" width="12.140625" customWidth="1"/>
    <col min="2043" max="2043" width="29.140625" bestFit="1" customWidth="1"/>
    <col min="2044" max="2044" width="12.5703125" customWidth="1"/>
    <col min="2046" max="2046" width="24" customWidth="1"/>
    <col min="2047" max="2047" width="22.28515625" customWidth="1"/>
    <col min="2049" max="2049" width="10.140625" bestFit="1" customWidth="1"/>
    <col min="2050" max="2050" width="12.7109375" bestFit="1" customWidth="1"/>
    <col min="2051" max="2051" width="12.140625" bestFit="1" customWidth="1"/>
    <col min="2052" max="2052" width="24.42578125" bestFit="1" customWidth="1"/>
    <col min="2297" max="2297" width="30.42578125" bestFit="1" customWidth="1"/>
    <col min="2298" max="2298" width="12.140625" customWidth="1"/>
    <col min="2299" max="2299" width="29.140625" bestFit="1" customWidth="1"/>
    <col min="2300" max="2300" width="12.5703125" customWidth="1"/>
    <col min="2302" max="2302" width="24" customWidth="1"/>
    <col min="2303" max="2303" width="22.28515625" customWidth="1"/>
    <col min="2305" max="2305" width="10.140625" bestFit="1" customWidth="1"/>
    <col min="2306" max="2306" width="12.7109375" bestFit="1" customWidth="1"/>
    <col min="2307" max="2307" width="12.140625" bestFit="1" customWidth="1"/>
    <col min="2308" max="2308" width="24.42578125" bestFit="1" customWidth="1"/>
    <col min="2553" max="2553" width="30.42578125" bestFit="1" customWidth="1"/>
    <col min="2554" max="2554" width="12.140625" customWidth="1"/>
    <col min="2555" max="2555" width="29.140625" bestFit="1" customWidth="1"/>
    <col min="2556" max="2556" width="12.5703125" customWidth="1"/>
    <col min="2558" max="2558" width="24" customWidth="1"/>
    <col min="2559" max="2559" width="22.28515625" customWidth="1"/>
    <col min="2561" max="2561" width="10.140625" bestFit="1" customWidth="1"/>
    <col min="2562" max="2562" width="12.7109375" bestFit="1" customWidth="1"/>
    <col min="2563" max="2563" width="12.140625" bestFit="1" customWidth="1"/>
    <col min="2564" max="2564" width="24.42578125" bestFit="1" customWidth="1"/>
    <col min="2809" max="2809" width="30.42578125" bestFit="1" customWidth="1"/>
    <col min="2810" max="2810" width="12.140625" customWidth="1"/>
    <col min="2811" max="2811" width="29.140625" bestFit="1" customWidth="1"/>
    <col min="2812" max="2812" width="12.5703125" customWidth="1"/>
    <col min="2814" max="2814" width="24" customWidth="1"/>
    <col min="2815" max="2815" width="22.28515625" customWidth="1"/>
    <col min="2817" max="2817" width="10.140625" bestFit="1" customWidth="1"/>
    <col min="2818" max="2818" width="12.7109375" bestFit="1" customWidth="1"/>
    <col min="2819" max="2819" width="12.140625" bestFit="1" customWidth="1"/>
    <col min="2820" max="2820" width="24.42578125" bestFit="1" customWidth="1"/>
    <col min="3065" max="3065" width="30.42578125" bestFit="1" customWidth="1"/>
    <col min="3066" max="3066" width="12.140625" customWidth="1"/>
    <col min="3067" max="3067" width="29.140625" bestFit="1" customWidth="1"/>
    <col min="3068" max="3068" width="12.5703125" customWidth="1"/>
    <col min="3070" max="3070" width="24" customWidth="1"/>
    <col min="3071" max="3071" width="22.28515625" customWidth="1"/>
    <col min="3073" max="3073" width="10.140625" bestFit="1" customWidth="1"/>
    <col min="3074" max="3074" width="12.7109375" bestFit="1" customWidth="1"/>
    <col min="3075" max="3075" width="12.140625" bestFit="1" customWidth="1"/>
    <col min="3076" max="3076" width="24.42578125" bestFit="1" customWidth="1"/>
    <col min="3321" max="3321" width="30.42578125" bestFit="1" customWidth="1"/>
    <col min="3322" max="3322" width="12.140625" customWidth="1"/>
    <col min="3323" max="3323" width="29.140625" bestFit="1" customWidth="1"/>
    <col min="3324" max="3324" width="12.5703125" customWidth="1"/>
    <col min="3326" max="3326" width="24" customWidth="1"/>
    <col min="3327" max="3327" width="22.28515625" customWidth="1"/>
    <col min="3329" max="3329" width="10.140625" bestFit="1" customWidth="1"/>
    <col min="3330" max="3330" width="12.7109375" bestFit="1" customWidth="1"/>
    <col min="3331" max="3331" width="12.140625" bestFit="1" customWidth="1"/>
    <col min="3332" max="3332" width="24.42578125" bestFit="1" customWidth="1"/>
    <col min="3577" max="3577" width="30.42578125" bestFit="1" customWidth="1"/>
    <col min="3578" max="3578" width="12.140625" customWidth="1"/>
    <col min="3579" max="3579" width="29.140625" bestFit="1" customWidth="1"/>
    <col min="3580" max="3580" width="12.5703125" customWidth="1"/>
    <col min="3582" max="3582" width="24" customWidth="1"/>
    <col min="3583" max="3583" width="22.28515625" customWidth="1"/>
    <col min="3585" max="3585" width="10.140625" bestFit="1" customWidth="1"/>
    <col min="3586" max="3586" width="12.7109375" bestFit="1" customWidth="1"/>
    <col min="3587" max="3587" width="12.140625" bestFit="1" customWidth="1"/>
    <col min="3588" max="3588" width="24.42578125" bestFit="1" customWidth="1"/>
    <col min="3833" max="3833" width="30.42578125" bestFit="1" customWidth="1"/>
    <col min="3834" max="3834" width="12.140625" customWidth="1"/>
    <col min="3835" max="3835" width="29.140625" bestFit="1" customWidth="1"/>
    <col min="3836" max="3836" width="12.5703125" customWidth="1"/>
    <col min="3838" max="3838" width="24" customWidth="1"/>
    <col min="3839" max="3839" width="22.28515625" customWidth="1"/>
    <col min="3841" max="3841" width="10.140625" bestFit="1" customWidth="1"/>
    <col min="3842" max="3842" width="12.7109375" bestFit="1" customWidth="1"/>
    <col min="3843" max="3843" width="12.140625" bestFit="1" customWidth="1"/>
    <col min="3844" max="3844" width="24.42578125" bestFit="1" customWidth="1"/>
    <col min="4089" max="4089" width="30.42578125" bestFit="1" customWidth="1"/>
    <col min="4090" max="4090" width="12.140625" customWidth="1"/>
    <col min="4091" max="4091" width="29.140625" bestFit="1" customWidth="1"/>
    <col min="4092" max="4092" width="12.5703125" customWidth="1"/>
    <col min="4094" max="4094" width="24" customWidth="1"/>
    <col min="4095" max="4095" width="22.28515625" customWidth="1"/>
    <col min="4097" max="4097" width="10.140625" bestFit="1" customWidth="1"/>
    <col min="4098" max="4098" width="12.7109375" bestFit="1" customWidth="1"/>
    <col min="4099" max="4099" width="12.140625" bestFit="1" customWidth="1"/>
    <col min="4100" max="4100" width="24.42578125" bestFit="1" customWidth="1"/>
    <col min="4345" max="4345" width="30.42578125" bestFit="1" customWidth="1"/>
    <col min="4346" max="4346" width="12.140625" customWidth="1"/>
    <col min="4347" max="4347" width="29.140625" bestFit="1" customWidth="1"/>
    <col min="4348" max="4348" width="12.5703125" customWidth="1"/>
    <col min="4350" max="4350" width="24" customWidth="1"/>
    <col min="4351" max="4351" width="22.28515625" customWidth="1"/>
    <col min="4353" max="4353" width="10.140625" bestFit="1" customWidth="1"/>
    <col min="4354" max="4354" width="12.7109375" bestFit="1" customWidth="1"/>
    <col min="4355" max="4355" width="12.140625" bestFit="1" customWidth="1"/>
    <col min="4356" max="4356" width="24.42578125" bestFit="1" customWidth="1"/>
    <col min="4601" max="4601" width="30.42578125" bestFit="1" customWidth="1"/>
    <col min="4602" max="4602" width="12.140625" customWidth="1"/>
    <col min="4603" max="4603" width="29.140625" bestFit="1" customWidth="1"/>
    <col min="4604" max="4604" width="12.5703125" customWidth="1"/>
    <col min="4606" max="4606" width="24" customWidth="1"/>
    <col min="4607" max="4607" width="22.28515625" customWidth="1"/>
    <col min="4609" max="4609" width="10.140625" bestFit="1" customWidth="1"/>
    <col min="4610" max="4610" width="12.7109375" bestFit="1" customWidth="1"/>
    <col min="4611" max="4611" width="12.140625" bestFit="1" customWidth="1"/>
    <col min="4612" max="4612" width="24.42578125" bestFit="1" customWidth="1"/>
    <col min="4857" max="4857" width="30.42578125" bestFit="1" customWidth="1"/>
    <col min="4858" max="4858" width="12.140625" customWidth="1"/>
    <col min="4859" max="4859" width="29.140625" bestFit="1" customWidth="1"/>
    <col min="4860" max="4860" width="12.5703125" customWidth="1"/>
    <col min="4862" max="4862" width="24" customWidth="1"/>
    <col min="4863" max="4863" width="22.28515625" customWidth="1"/>
    <col min="4865" max="4865" width="10.140625" bestFit="1" customWidth="1"/>
    <col min="4866" max="4866" width="12.7109375" bestFit="1" customWidth="1"/>
    <col min="4867" max="4867" width="12.140625" bestFit="1" customWidth="1"/>
    <col min="4868" max="4868" width="24.42578125" bestFit="1" customWidth="1"/>
    <col min="5113" max="5113" width="30.42578125" bestFit="1" customWidth="1"/>
    <col min="5114" max="5114" width="12.140625" customWidth="1"/>
    <col min="5115" max="5115" width="29.140625" bestFit="1" customWidth="1"/>
    <col min="5116" max="5116" width="12.5703125" customWidth="1"/>
    <col min="5118" max="5118" width="24" customWidth="1"/>
    <col min="5119" max="5119" width="22.28515625" customWidth="1"/>
    <col min="5121" max="5121" width="10.140625" bestFit="1" customWidth="1"/>
    <col min="5122" max="5122" width="12.7109375" bestFit="1" customWidth="1"/>
    <col min="5123" max="5123" width="12.140625" bestFit="1" customWidth="1"/>
    <col min="5124" max="5124" width="24.42578125" bestFit="1" customWidth="1"/>
    <col min="5369" max="5369" width="30.42578125" bestFit="1" customWidth="1"/>
    <col min="5370" max="5370" width="12.140625" customWidth="1"/>
    <col min="5371" max="5371" width="29.140625" bestFit="1" customWidth="1"/>
    <col min="5372" max="5372" width="12.5703125" customWidth="1"/>
    <col min="5374" max="5374" width="24" customWidth="1"/>
    <col min="5375" max="5375" width="22.28515625" customWidth="1"/>
    <col min="5377" max="5377" width="10.140625" bestFit="1" customWidth="1"/>
    <col min="5378" max="5378" width="12.7109375" bestFit="1" customWidth="1"/>
    <col min="5379" max="5379" width="12.140625" bestFit="1" customWidth="1"/>
    <col min="5380" max="5380" width="24.42578125" bestFit="1" customWidth="1"/>
    <col min="5625" max="5625" width="30.42578125" bestFit="1" customWidth="1"/>
    <col min="5626" max="5626" width="12.140625" customWidth="1"/>
    <col min="5627" max="5627" width="29.140625" bestFit="1" customWidth="1"/>
    <col min="5628" max="5628" width="12.5703125" customWidth="1"/>
    <col min="5630" max="5630" width="24" customWidth="1"/>
    <col min="5631" max="5631" width="22.28515625" customWidth="1"/>
    <col min="5633" max="5633" width="10.140625" bestFit="1" customWidth="1"/>
    <col min="5634" max="5634" width="12.7109375" bestFit="1" customWidth="1"/>
    <col min="5635" max="5635" width="12.140625" bestFit="1" customWidth="1"/>
    <col min="5636" max="5636" width="24.42578125" bestFit="1" customWidth="1"/>
    <col min="5881" max="5881" width="30.42578125" bestFit="1" customWidth="1"/>
    <col min="5882" max="5882" width="12.140625" customWidth="1"/>
    <col min="5883" max="5883" width="29.140625" bestFit="1" customWidth="1"/>
    <col min="5884" max="5884" width="12.5703125" customWidth="1"/>
    <col min="5886" max="5886" width="24" customWidth="1"/>
    <col min="5887" max="5887" width="22.28515625" customWidth="1"/>
    <col min="5889" max="5889" width="10.140625" bestFit="1" customWidth="1"/>
    <col min="5890" max="5890" width="12.7109375" bestFit="1" customWidth="1"/>
    <col min="5891" max="5891" width="12.140625" bestFit="1" customWidth="1"/>
    <col min="5892" max="5892" width="24.42578125" bestFit="1" customWidth="1"/>
    <col min="6137" max="6137" width="30.42578125" bestFit="1" customWidth="1"/>
    <col min="6138" max="6138" width="12.140625" customWidth="1"/>
    <col min="6139" max="6139" width="29.140625" bestFit="1" customWidth="1"/>
    <col min="6140" max="6140" width="12.5703125" customWidth="1"/>
    <col min="6142" max="6142" width="24" customWidth="1"/>
    <col min="6143" max="6143" width="22.28515625" customWidth="1"/>
    <col min="6145" max="6145" width="10.140625" bestFit="1" customWidth="1"/>
    <col min="6146" max="6146" width="12.7109375" bestFit="1" customWidth="1"/>
    <col min="6147" max="6147" width="12.140625" bestFit="1" customWidth="1"/>
    <col min="6148" max="6148" width="24.42578125" bestFit="1" customWidth="1"/>
    <col min="6393" max="6393" width="30.42578125" bestFit="1" customWidth="1"/>
    <col min="6394" max="6394" width="12.140625" customWidth="1"/>
    <col min="6395" max="6395" width="29.140625" bestFit="1" customWidth="1"/>
    <col min="6396" max="6396" width="12.5703125" customWidth="1"/>
    <col min="6398" max="6398" width="24" customWidth="1"/>
    <col min="6399" max="6399" width="22.28515625" customWidth="1"/>
    <col min="6401" max="6401" width="10.140625" bestFit="1" customWidth="1"/>
    <col min="6402" max="6402" width="12.7109375" bestFit="1" customWidth="1"/>
    <col min="6403" max="6403" width="12.140625" bestFit="1" customWidth="1"/>
    <col min="6404" max="6404" width="24.42578125" bestFit="1" customWidth="1"/>
    <col min="6649" max="6649" width="30.42578125" bestFit="1" customWidth="1"/>
    <col min="6650" max="6650" width="12.140625" customWidth="1"/>
    <col min="6651" max="6651" width="29.140625" bestFit="1" customWidth="1"/>
    <col min="6652" max="6652" width="12.5703125" customWidth="1"/>
    <col min="6654" max="6654" width="24" customWidth="1"/>
    <col min="6655" max="6655" width="22.28515625" customWidth="1"/>
    <col min="6657" max="6657" width="10.140625" bestFit="1" customWidth="1"/>
    <col min="6658" max="6658" width="12.7109375" bestFit="1" customWidth="1"/>
    <col min="6659" max="6659" width="12.140625" bestFit="1" customWidth="1"/>
    <col min="6660" max="6660" width="24.42578125" bestFit="1" customWidth="1"/>
    <col min="6905" max="6905" width="30.42578125" bestFit="1" customWidth="1"/>
    <col min="6906" max="6906" width="12.140625" customWidth="1"/>
    <col min="6907" max="6907" width="29.140625" bestFit="1" customWidth="1"/>
    <col min="6908" max="6908" width="12.5703125" customWidth="1"/>
    <col min="6910" max="6910" width="24" customWidth="1"/>
    <col min="6911" max="6911" width="22.28515625" customWidth="1"/>
    <col min="6913" max="6913" width="10.140625" bestFit="1" customWidth="1"/>
    <col min="6914" max="6914" width="12.7109375" bestFit="1" customWidth="1"/>
    <col min="6915" max="6915" width="12.140625" bestFit="1" customWidth="1"/>
    <col min="6916" max="6916" width="24.42578125" bestFit="1" customWidth="1"/>
    <col min="7161" max="7161" width="30.42578125" bestFit="1" customWidth="1"/>
    <col min="7162" max="7162" width="12.140625" customWidth="1"/>
    <col min="7163" max="7163" width="29.140625" bestFit="1" customWidth="1"/>
    <col min="7164" max="7164" width="12.5703125" customWidth="1"/>
    <col min="7166" max="7166" width="24" customWidth="1"/>
    <col min="7167" max="7167" width="22.28515625" customWidth="1"/>
    <col min="7169" max="7169" width="10.140625" bestFit="1" customWidth="1"/>
    <col min="7170" max="7170" width="12.7109375" bestFit="1" customWidth="1"/>
    <col min="7171" max="7171" width="12.140625" bestFit="1" customWidth="1"/>
    <col min="7172" max="7172" width="24.42578125" bestFit="1" customWidth="1"/>
    <col min="7417" max="7417" width="30.42578125" bestFit="1" customWidth="1"/>
    <col min="7418" max="7418" width="12.140625" customWidth="1"/>
    <col min="7419" max="7419" width="29.140625" bestFit="1" customWidth="1"/>
    <col min="7420" max="7420" width="12.5703125" customWidth="1"/>
    <col min="7422" max="7422" width="24" customWidth="1"/>
    <col min="7423" max="7423" width="22.28515625" customWidth="1"/>
    <col min="7425" max="7425" width="10.140625" bestFit="1" customWidth="1"/>
    <col min="7426" max="7426" width="12.7109375" bestFit="1" customWidth="1"/>
    <col min="7427" max="7427" width="12.140625" bestFit="1" customWidth="1"/>
    <col min="7428" max="7428" width="24.42578125" bestFit="1" customWidth="1"/>
    <col min="7673" max="7673" width="30.42578125" bestFit="1" customWidth="1"/>
    <col min="7674" max="7674" width="12.140625" customWidth="1"/>
    <col min="7675" max="7675" width="29.140625" bestFit="1" customWidth="1"/>
    <col min="7676" max="7676" width="12.5703125" customWidth="1"/>
    <col min="7678" max="7678" width="24" customWidth="1"/>
    <col min="7679" max="7679" width="22.28515625" customWidth="1"/>
    <col min="7681" max="7681" width="10.140625" bestFit="1" customWidth="1"/>
    <col min="7682" max="7682" width="12.7109375" bestFit="1" customWidth="1"/>
    <col min="7683" max="7683" width="12.140625" bestFit="1" customWidth="1"/>
    <col min="7684" max="7684" width="24.42578125" bestFit="1" customWidth="1"/>
    <col min="7929" max="7929" width="30.42578125" bestFit="1" customWidth="1"/>
    <col min="7930" max="7930" width="12.140625" customWidth="1"/>
    <col min="7931" max="7931" width="29.140625" bestFit="1" customWidth="1"/>
    <col min="7932" max="7932" width="12.5703125" customWidth="1"/>
    <col min="7934" max="7934" width="24" customWidth="1"/>
    <col min="7935" max="7935" width="22.28515625" customWidth="1"/>
    <col min="7937" max="7937" width="10.140625" bestFit="1" customWidth="1"/>
    <col min="7938" max="7938" width="12.7109375" bestFit="1" customWidth="1"/>
    <col min="7939" max="7939" width="12.140625" bestFit="1" customWidth="1"/>
    <col min="7940" max="7940" width="24.42578125" bestFit="1" customWidth="1"/>
    <col min="8185" max="8185" width="30.42578125" bestFit="1" customWidth="1"/>
    <col min="8186" max="8186" width="12.140625" customWidth="1"/>
    <col min="8187" max="8187" width="29.140625" bestFit="1" customWidth="1"/>
    <col min="8188" max="8188" width="12.5703125" customWidth="1"/>
    <col min="8190" max="8190" width="24" customWidth="1"/>
    <col min="8191" max="8191" width="22.28515625" customWidth="1"/>
    <col min="8193" max="8193" width="10.140625" bestFit="1" customWidth="1"/>
    <col min="8194" max="8194" width="12.7109375" bestFit="1" customWidth="1"/>
    <col min="8195" max="8195" width="12.140625" bestFit="1" customWidth="1"/>
    <col min="8196" max="8196" width="24.42578125" bestFit="1" customWidth="1"/>
    <col min="8441" max="8441" width="30.42578125" bestFit="1" customWidth="1"/>
    <col min="8442" max="8442" width="12.140625" customWidth="1"/>
    <col min="8443" max="8443" width="29.140625" bestFit="1" customWidth="1"/>
    <col min="8444" max="8444" width="12.5703125" customWidth="1"/>
    <col min="8446" max="8446" width="24" customWidth="1"/>
    <col min="8447" max="8447" width="22.28515625" customWidth="1"/>
    <col min="8449" max="8449" width="10.140625" bestFit="1" customWidth="1"/>
    <col min="8450" max="8450" width="12.7109375" bestFit="1" customWidth="1"/>
    <col min="8451" max="8451" width="12.140625" bestFit="1" customWidth="1"/>
    <col min="8452" max="8452" width="24.42578125" bestFit="1" customWidth="1"/>
    <col min="8697" max="8697" width="30.42578125" bestFit="1" customWidth="1"/>
    <col min="8698" max="8698" width="12.140625" customWidth="1"/>
    <col min="8699" max="8699" width="29.140625" bestFit="1" customWidth="1"/>
    <col min="8700" max="8700" width="12.5703125" customWidth="1"/>
    <col min="8702" max="8702" width="24" customWidth="1"/>
    <col min="8703" max="8703" width="22.28515625" customWidth="1"/>
    <col min="8705" max="8705" width="10.140625" bestFit="1" customWidth="1"/>
    <col min="8706" max="8706" width="12.7109375" bestFit="1" customWidth="1"/>
    <col min="8707" max="8707" width="12.140625" bestFit="1" customWidth="1"/>
    <col min="8708" max="8708" width="24.42578125" bestFit="1" customWidth="1"/>
    <col min="8953" max="8953" width="30.42578125" bestFit="1" customWidth="1"/>
    <col min="8954" max="8954" width="12.140625" customWidth="1"/>
    <col min="8955" max="8955" width="29.140625" bestFit="1" customWidth="1"/>
    <col min="8956" max="8956" width="12.5703125" customWidth="1"/>
    <col min="8958" max="8958" width="24" customWidth="1"/>
    <col min="8959" max="8959" width="22.28515625" customWidth="1"/>
    <col min="8961" max="8961" width="10.140625" bestFit="1" customWidth="1"/>
    <col min="8962" max="8962" width="12.7109375" bestFit="1" customWidth="1"/>
    <col min="8963" max="8963" width="12.140625" bestFit="1" customWidth="1"/>
    <col min="8964" max="8964" width="24.42578125" bestFit="1" customWidth="1"/>
    <col min="9209" max="9209" width="30.42578125" bestFit="1" customWidth="1"/>
    <col min="9210" max="9210" width="12.140625" customWidth="1"/>
    <col min="9211" max="9211" width="29.140625" bestFit="1" customWidth="1"/>
    <col min="9212" max="9212" width="12.5703125" customWidth="1"/>
    <col min="9214" max="9214" width="24" customWidth="1"/>
    <col min="9215" max="9215" width="22.28515625" customWidth="1"/>
    <col min="9217" max="9217" width="10.140625" bestFit="1" customWidth="1"/>
    <col min="9218" max="9218" width="12.7109375" bestFit="1" customWidth="1"/>
    <col min="9219" max="9219" width="12.140625" bestFit="1" customWidth="1"/>
    <col min="9220" max="9220" width="24.42578125" bestFit="1" customWidth="1"/>
    <col min="9465" max="9465" width="30.42578125" bestFit="1" customWidth="1"/>
    <col min="9466" max="9466" width="12.140625" customWidth="1"/>
    <col min="9467" max="9467" width="29.140625" bestFit="1" customWidth="1"/>
    <col min="9468" max="9468" width="12.5703125" customWidth="1"/>
    <col min="9470" max="9470" width="24" customWidth="1"/>
    <col min="9471" max="9471" width="22.28515625" customWidth="1"/>
    <col min="9473" max="9473" width="10.140625" bestFit="1" customWidth="1"/>
    <col min="9474" max="9474" width="12.7109375" bestFit="1" customWidth="1"/>
    <col min="9475" max="9475" width="12.140625" bestFit="1" customWidth="1"/>
    <col min="9476" max="9476" width="24.42578125" bestFit="1" customWidth="1"/>
    <col min="9721" max="9721" width="30.42578125" bestFit="1" customWidth="1"/>
    <col min="9722" max="9722" width="12.140625" customWidth="1"/>
    <col min="9723" max="9723" width="29.140625" bestFit="1" customWidth="1"/>
    <col min="9724" max="9724" width="12.5703125" customWidth="1"/>
    <col min="9726" max="9726" width="24" customWidth="1"/>
    <col min="9727" max="9727" width="22.28515625" customWidth="1"/>
    <col min="9729" max="9729" width="10.140625" bestFit="1" customWidth="1"/>
    <col min="9730" max="9730" width="12.7109375" bestFit="1" customWidth="1"/>
    <col min="9731" max="9731" width="12.140625" bestFit="1" customWidth="1"/>
    <col min="9732" max="9732" width="24.42578125" bestFit="1" customWidth="1"/>
    <col min="9977" max="9977" width="30.42578125" bestFit="1" customWidth="1"/>
    <col min="9978" max="9978" width="12.140625" customWidth="1"/>
    <col min="9979" max="9979" width="29.140625" bestFit="1" customWidth="1"/>
    <col min="9980" max="9980" width="12.5703125" customWidth="1"/>
    <col min="9982" max="9982" width="24" customWidth="1"/>
    <col min="9983" max="9983" width="22.28515625" customWidth="1"/>
    <col min="9985" max="9985" width="10.140625" bestFit="1" customWidth="1"/>
    <col min="9986" max="9986" width="12.7109375" bestFit="1" customWidth="1"/>
    <col min="9987" max="9987" width="12.140625" bestFit="1" customWidth="1"/>
    <col min="9988" max="9988" width="24.42578125" bestFit="1" customWidth="1"/>
    <col min="10233" max="10233" width="30.42578125" bestFit="1" customWidth="1"/>
    <col min="10234" max="10234" width="12.140625" customWidth="1"/>
    <col min="10235" max="10235" width="29.140625" bestFit="1" customWidth="1"/>
    <col min="10236" max="10236" width="12.5703125" customWidth="1"/>
    <col min="10238" max="10238" width="24" customWidth="1"/>
    <col min="10239" max="10239" width="22.28515625" customWidth="1"/>
    <col min="10241" max="10241" width="10.140625" bestFit="1" customWidth="1"/>
    <col min="10242" max="10242" width="12.7109375" bestFit="1" customWidth="1"/>
    <col min="10243" max="10243" width="12.140625" bestFit="1" customWidth="1"/>
    <col min="10244" max="10244" width="24.42578125" bestFit="1" customWidth="1"/>
    <col min="10489" max="10489" width="30.42578125" bestFit="1" customWidth="1"/>
    <col min="10490" max="10490" width="12.140625" customWidth="1"/>
    <col min="10491" max="10491" width="29.140625" bestFit="1" customWidth="1"/>
    <col min="10492" max="10492" width="12.5703125" customWidth="1"/>
    <col min="10494" max="10494" width="24" customWidth="1"/>
    <col min="10495" max="10495" width="22.28515625" customWidth="1"/>
    <col min="10497" max="10497" width="10.140625" bestFit="1" customWidth="1"/>
    <col min="10498" max="10498" width="12.7109375" bestFit="1" customWidth="1"/>
    <col min="10499" max="10499" width="12.140625" bestFit="1" customWidth="1"/>
    <col min="10500" max="10500" width="24.42578125" bestFit="1" customWidth="1"/>
    <col min="10745" max="10745" width="30.42578125" bestFit="1" customWidth="1"/>
    <col min="10746" max="10746" width="12.140625" customWidth="1"/>
    <col min="10747" max="10747" width="29.140625" bestFit="1" customWidth="1"/>
    <col min="10748" max="10748" width="12.5703125" customWidth="1"/>
    <col min="10750" max="10750" width="24" customWidth="1"/>
    <col min="10751" max="10751" width="22.28515625" customWidth="1"/>
    <col min="10753" max="10753" width="10.140625" bestFit="1" customWidth="1"/>
    <col min="10754" max="10754" width="12.7109375" bestFit="1" customWidth="1"/>
    <col min="10755" max="10755" width="12.140625" bestFit="1" customWidth="1"/>
    <col min="10756" max="10756" width="24.42578125" bestFit="1" customWidth="1"/>
    <col min="11001" max="11001" width="30.42578125" bestFit="1" customWidth="1"/>
    <col min="11002" max="11002" width="12.140625" customWidth="1"/>
    <col min="11003" max="11003" width="29.140625" bestFit="1" customWidth="1"/>
    <col min="11004" max="11004" width="12.5703125" customWidth="1"/>
    <col min="11006" max="11006" width="24" customWidth="1"/>
    <col min="11007" max="11007" width="22.28515625" customWidth="1"/>
    <col min="11009" max="11009" width="10.140625" bestFit="1" customWidth="1"/>
    <col min="11010" max="11010" width="12.7109375" bestFit="1" customWidth="1"/>
    <col min="11011" max="11011" width="12.140625" bestFit="1" customWidth="1"/>
    <col min="11012" max="11012" width="24.42578125" bestFit="1" customWidth="1"/>
    <col min="11257" max="11257" width="30.42578125" bestFit="1" customWidth="1"/>
    <col min="11258" max="11258" width="12.140625" customWidth="1"/>
    <col min="11259" max="11259" width="29.140625" bestFit="1" customWidth="1"/>
    <col min="11260" max="11260" width="12.5703125" customWidth="1"/>
    <col min="11262" max="11262" width="24" customWidth="1"/>
    <col min="11263" max="11263" width="22.28515625" customWidth="1"/>
    <col min="11265" max="11265" width="10.140625" bestFit="1" customWidth="1"/>
    <col min="11266" max="11266" width="12.7109375" bestFit="1" customWidth="1"/>
    <col min="11267" max="11267" width="12.140625" bestFit="1" customWidth="1"/>
    <col min="11268" max="11268" width="24.42578125" bestFit="1" customWidth="1"/>
    <col min="11513" max="11513" width="30.42578125" bestFit="1" customWidth="1"/>
    <col min="11514" max="11514" width="12.140625" customWidth="1"/>
    <col min="11515" max="11515" width="29.140625" bestFit="1" customWidth="1"/>
    <col min="11516" max="11516" width="12.5703125" customWidth="1"/>
    <col min="11518" max="11518" width="24" customWidth="1"/>
    <col min="11519" max="11519" width="22.28515625" customWidth="1"/>
    <col min="11521" max="11521" width="10.140625" bestFit="1" customWidth="1"/>
    <col min="11522" max="11522" width="12.7109375" bestFit="1" customWidth="1"/>
    <col min="11523" max="11523" width="12.140625" bestFit="1" customWidth="1"/>
    <col min="11524" max="11524" width="24.42578125" bestFit="1" customWidth="1"/>
    <col min="11769" max="11769" width="30.42578125" bestFit="1" customWidth="1"/>
    <col min="11770" max="11770" width="12.140625" customWidth="1"/>
    <col min="11771" max="11771" width="29.140625" bestFit="1" customWidth="1"/>
    <col min="11772" max="11772" width="12.5703125" customWidth="1"/>
    <col min="11774" max="11774" width="24" customWidth="1"/>
    <col min="11775" max="11775" width="22.28515625" customWidth="1"/>
    <col min="11777" max="11777" width="10.140625" bestFit="1" customWidth="1"/>
    <col min="11778" max="11778" width="12.7109375" bestFit="1" customWidth="1"/>
    <col min="11779" max="11779" width="12.140625" bestFit="1" customWidth="1"/>
    <col min="11780" max="11780" width="24.42578125" bestFit="1" customWidth="1"/>
    <col min="12025" max="12025" width="30.42578125" bestFit="1" customWidth="1"/>
    <col min="12026" max="12026" width="12.140625" customWidth="1"/>
    <col min="12027" max="12027" width="29.140625" bestFit="1" customWidth="1"/>
    <col min="12028" max="12028" width="12.5703125" customWidth="1"/>
    <col min="12030" max="12030" width="24" customWidth="1"/>
    <col min="12031" max="12031" width="22.28515625" customWidth="1"/>
    <col min="12033" max="12033" width="10.140625" bestFit="1" customWidth="1"/>
    <col min="12034" max="12034" width="12.7109375" bestFit="1" customWidth="1"/>
    <col min="12035" max="12035" width="12.140625" bestFit="1" customWidth="1"/>
    <col min="12036" max="12036" width="24.42578125" bestFit="1" customWidth="1"/>
    <col min="12281" max="12281" width="30.42578125" bestFit="1" customWidth="1"/>
    <col min="12282" max="12282" width="12.140625" customWidth="1"/>
    <col min="12283" max="12283" width="29.140625" bestFit="1" customWidth="1"/>
    <col min="12284" max="12284" width="12.5703125" customWidth="1"/>
    <col min="12286" max="12286" width="24" customWidth="1"/>
    <col min="12287" max="12287" width="22.28515625" customWidth="1"/>
    <col min="12289" max="12289" width="10.140625" bestFit="1" customWidth="1"/>
    <col min="12290" max="12290" width="12.7109375" bestFit="1" customWidth="1"/>
    <col min="12291" max="12291" width="12.140625" bestFit="1" customWidth="1"/>
    <col min="12292" max="12292" width="24.42578125" bestFit="1" customWidth="1"/>
    <col min="12537" max="12537" width="30.42578125" bestFit="1" customWidth="1"/>
    <col min="12538" max="12538" width="12.140625" customWidth="1"/>
    <col min="12539" max="12539" width="29.140625" bestFit="1" customWidth="1"/>
    <col min="12540" max="12540" width="12.5703125" customWidth="1"/>
    <col min="12542" max="12542" width="24" customWidth="1"/>
    <col min="12543" max="12543" width="22.28515625" customWidth="1"/>
    <col min="12545" max="12545" width="10.140625" bestFit="1" customWidth="1"/>
    <col min="12546" max="12546" width="12.7109375" bestFit="1" customWidth="1"/>
    <col min="12547" max="12547" width="12.140625" bestFit="1" customWidth="1"/>
    <col min="12548" max="12548" width="24.42578125" bestFit="1" customWidth="1"/>
    <col min="12793" max="12793" width="30.42578125" bestFit="1" customWidth="1"/>
    <col min="12794" max="12794" width="12.140625" customWidth="1"/>
    <col min="12795" max="12795" width="29.140625" bestFit="1" customWidth="1"/>
    <col min="12796" max="12796" width="12.5703125" customWidth="1"/>
    <col min="12798" max="12798" width="24" customWidth="1"/>
    <col min="12799" max="12799" width="22.28515625" customWidth="1"/>
    <col min="12801" max="12801" width="10.140625" bestFit="1" customWidth="1"/>
    <col min="12802" max="12802" width="12.7109375" bestFit="1" customWidth="1"/>
    <col min="12803" max="12803" width="12.140625" bestFit="1" customWidth="1"/>
    <col min="12804" max="12804" width="24.42578125" bestFit="1" customWidth="1"/>
    <col min="13049" max="13049" width="30.42578125" bestFit="1" customWidth="1"/>
    <col min="13050" max="13050" width="12.140625" customWidth="1"/>
    <col min="13051" max="13051" width="29.140625" bestFit="1" customWidth="1"/>
    <col min="13052" max="13052" width="12.5703125" customWidth="1"/>
    <col min="13054" max="13054" width="24" customWidth="1"/>
    <col min="13055" max="13055" width="22.28515625" customWidth="1"/>
    <col min="13057" max="13057" width="10.140625" bestFit="1" customWidth="1"/>
    <col min="13058" max="13058" width="12.7109375" bestFit="1" customWidth="1"/>
    <col min="13059" max="13059" width="12.140625" bestFit="1" customWidth="1"/>
    <col min="13060" max="13060" width="24.42578125" bestFit="1" customWidth="1"/>
    <col min="13305" max="13305" width="30.42578125" bestFit="1" customWidth="1"/>
    <col min="13306" max="13306" width="12.140625" customWidth="1"/>
    <col min="13307" max="13307" width="29.140625" bestFit="1" customWidth="1"/>
    <col min="13308" max="13308" width="12.5703125" customWidth="1"/>
    <col min="13310" max="13310" width="24" customWidth="1"/>
    <col min="13311" max="13311" width="22.28515625" customWidth="1"/>
    <col min="13313" max="13313" width="10.140625" bestFit="1" customWidth="1"/>
    <col min="13314" max="13314" width="12.7109375" bestFit="1" customWidth="1"/>
    <col min="13315" max="13315" width="12.140625" bestFit="1" customWidth="1"/>
    <col min="13316" max="13316" width="24.42578125" bestFit="1" customWidth="1"/>
    <col min="13561" max="13561" width="30.42578125" bestFit="1" customWidth="1"/>
    <col min="13562" max="13562" width="12.140625" customWidth="1"/>
    <col min="13563" max="13563" width="29.140625" bestFit="1" customWidth="1"/>
    <col min="13564" max="13564" width="12.5703125" customWidth="1"/>
    <col min="13566" max="13566" width="24" customWidth="1"/>
    <col min="13567" max="13567" width="22.28515625" customWidth="1"/>
    <col min="13569" max="13569" width="10.140625" bestFit="1" customWidth="1"/>
    <col min="13570" max="13570" width="12.7109375" bestFit="1" customWidth="1"/>
    <col min="13571" max="13571" width="12.140625" bestFit="1" customWidth="1"/>
    <col min="13572" max="13572" width="24.42578125" bestFit="1" customWidth="1"/>
    <col min="13817" max="13817" width="30.42578125" bestFit="1" customWidth="1"/>
    <col min="13818" max="13818" width="12.140625" customWidth="1"/>
    <col min="13819" max="13819" width="29.140625" bestFit="1" customWidth="1"/>
    <col min="13820" max="13820" width="12.5703125" customWidth="1"/>
    <col min="13822" max="13822" width="24" customWidth="1"/>
    <col min="13823" max="13823" width="22.28515625" customWidth="1"/>
    <col min="13825" max="13825" width="10.140625" bestFit="1" customWidth="1"/>
    <col min="13826" max="13826" width="12.7109375" bestFit="1" customWidth="1"/>
    <col min="13827" max="13827" width="12.140625" bestFit="1" customWidth="1"/>
    <col min="13828" max="13828" width="24.42578125" bestFit="1" customWidth="1"/>
    <col min="14073" max="14073" width="30.42578125" bestFit="1" customWidth="1"/>
    <col min="14074" max="14074" width="12.140625" customWidth="1"/>
    <col min="14075" max="14075" width="29.140625" bestFit="1" customWidth="1"/>
    <col min="14076" max="14076" width="12.5703125" customWidth="1"/>
    <col min="14078" max="14078" width="24" customWidth="1"/>
    <col min="14079" max="14079" width="22.28515625" customWidth="1"/>
    <col min="14081" max="14081" width="10.140625" bestFit="1" customWidth="1"/>
    <col min="14082" max="14082" width="12.7109375" bestFit="1" customWidth="1"/>
    <col min="14083" max="14083" width="12.140625" bestFit="1" customWidth="1"/>
    <col min="14084" max="14084" width="24.42578125" bestFit="1" customWidth="1"/>
    <col min="14329" max="14329" width="30.42578125" bestFit="1" customWidth="1"/>
    <col min="14330" max="14330" width="12.140625" customWidth="1"/>
    <col min="14331" max="14331" width="29.140625" bestFit="1" customWidth="1"/>
    <col min="14332" max="14332" width="12.5703125" customWidth="1"/>
    <col min="14334" max="14334" width="24" customWidth="1"/>
    <col min="14335" max="14335" width="22.28515625" customWidth="1"/>
    <col min="14337" max="14337" width="10.140625" bestFit="1" customWidth="1"/>
    <col min="14338" max="14338" width="12.7109375" bestFit="1" customWidth="1"/>
    <col min="14339" max="14339" width="12.140625" bestFit="1" customWidth="1"/>
    <col min="14340" max="14340" width="24.42578125" bestFit="1" customWidth="1"/>
    <col min="14585" max="14585" width="30.42578125" bestFit="1" customWidth="1"/>
    <col min="14586" max="14586" width="12.140625" customWidth="1"/>
    <col min="14587" max="14587" width="29.140625" bestFit="1" customWidth="1"/>
    <col min="14588" max="14588" width="12.5703125" customWidth="1"/>
    <col min="14590" max="14590" width="24" customWidth="1"/>
    <col min="14591" max="14591" width="22.28515625" customWidth="1"/>
    <col min="14593" max="14593" width="10.140625" bestFit="1" customWidth="1"/>
    <col min="14594" max="14594" width="12.7109375" bestFit="1" customWidth="1"/>
    <col min="14595" max="14595" width="12.140625" bestFit="1" customWidth="1"/>
    <col min="14596" max="14596" width="24.42578125" bestFit="1" customWidth="1"/>
    <col min="14841" max="14841" width="30.42578125" bestFit="1" customWidth="1"/>
    <col min="14842" max="14842" width="12.140625" customWidth="1"/>
    <col min="14843" max="14843" width="29.140625" bestFit="1" customWidth="1"/>
    <col min="14844" max="14844" width="12.5703125" customWidth="1"/>
    <col min="14846" max="14846" width="24" customWidth="1"/>
    <col min="14847" max="14847" width="22.28515625" customWidth="1"/>
    <col min="14849" max="14849" width="10.140625" bestFit="1" customWidth="1"/>
    <col min="14850" max="14850" width="12.7109375" bestFit="1" customWidth="1"/>
    <col min="14851" max="14851" width="12.140625" bestFit="1" customWidth="1"/>
    <col min="14852" max="14852" width="24.42578125" bestFit="1" customWidth="1"/>
    <col min="15097" max="15097" width="30.42578125" bestFit="1" customWidth="1"/>
    <col min="15098" max="15098" width="12.140625" customWidth="1"/>
    <col min="15099" max="15099" width="29.140625" bestFit="1" customWidth="1"/>
    <col min="15100" max="15100" width="12.5703125" customWidth="1"/>
    <col min="15102" max="15102" width="24" customWidth="1"/>
    <col min="15103" max="15103" width="22.28515625" customWidth="1"/>
    <col min="15105" max="15105" width="10.140625" bestFit="1" customWidth="1"/>
    <col min="15106" max="15106" width="12.7109375" bestFit="1" customWidth="1"/>
    <col min="15107" max="15107" width="12.140625" bestFit="1" customWidth="1"/>
    <col min="15108" max="15108" width="24.42578125" bestFit="1" customWidth="1"/>
    <col min="15353" max="15353" width="30.42578125" bestFit="1" customWidth="1"/>
    <col min="15354" max="15354" width="12.140625" customWidth="1"/>
    <col min="15355" max="15355" width="29.140625" bestFit="1" customWidth="1"/>
    <col min="15356" max="15356" width="12.5703125" customWidth="1"/>
    <col min="15358" max="15358" width="24" customWidth="1"/>
    <col min="15359" max="15359" width="22.28515625" customWidth="1"/>
    <col min="15361" max="15361" width="10.140625" bestFit="1" customWidth="1"/>
    <col min="15362" max="15362" width="12.7109375" bestFit="1" customWidth="1"/>
    <col min="15363" max="15363" width="12.140625" bestFit="1" customWidth="1"/>
    <col min="15364" max="15364" width="24.42578125" bestFit="1" customWidth="1"/>
    <col min="15609" max="15609" width="30.42578125" bestFit="1" customWidth="1"/>
    <col min="15610" max="15610" width="12.140625" customWidth="1"/>
    <col min="15611" max="15611" width="29.140625" bestFit="1" customWidth="1"/>
    <col min="15612" max="15612" width="12.5703125" customWidth="1"/>
    <col min="15614" max="15614" width="24" customWidth="1"/>
    <col min="15615" max="15615" width="22.28515625" customWidth="1"/>
    <col min="15617" max="15617" width="10.140625" bestFit="1" customWidth="1"/>
    <col min="15618" max="15618" width="12.7109375" bestFit="1" customWidth="1"/>
    <col min="15619" max="15619" width="12.140625" bestFit="1" customWidth="1"/>
    <col min="15620" max="15620" width="24.42578125" bestFit="1" customWidth="1"/>
    <col min="15865" max="15865" width="30.42578125" bestFit="1" customWidth="1"/>
    <col min="15866" max="15866" width="12.140625" customWidth="1"/>
    <col min="15867" max="15867" width="29.140625" bestFit="1" customWidth="1"/>
    <col min="15868" max="15868" width="12.5703125" customWidth="1"/>
    <col min="15870" max="15870" width="24" customWidth="1"/>
    <col min="15871" max="15871" width="22.28515625" customWidth="1"/>
    <col min="15873" max="15873" width="10.140625" bestFit="1" customWidth="1"/>
    <col min="15874" max="15874" width="12.7109375" bestFit="1" customWidth="1"/>
    <col min="15875" max="15875" width="12.140625" bestFit="1" customWidth="1"/>
    <col min="15876" max="15876" width="24.42578125" bestFit="1" customWidth="1"/>
    <col min="16121" max="16121" width="30.42578125" bestFit="1" customWidth="1"/>
    <col min="16122" max="16122" width="12.140625" customWidth="1"/>
    <col min="16123" max="16123" width="29.140625" bestFit="1" customWidth="1"/>
    <col min="16124" max="16124" width="12.5703125" customWidth="1"/>
    <col min="16126" max="16126" width="24" customWidth="1"/>
    <col min="16127" max="16127" width="22.28515625" customWidth="1"/>
    <col min="16129" max="16129" width="10.140625" bestFit="1" customWidth="1"/>
    <col min="16130" max="16130" width="12.7109375" bestFit="1" customWidth="1"/>
    <col min="16131" max="16131" width="12.140625" bestFit="1" customWidth="1"/>
    <col min="16132" max="16132" width="24.42578125" bestFit="1" customWidth="1"/>
  </cols>
  <sheetData>
    <row r="1" spans="1:26" ht="15.75" customHeight="1" thickBot="1" x14ac:dyDescent="0.3">
      <c r="B1" s="123">
        <v>42064</v>
      </c>
      <c r="C1" s="123"/>
      <c r="D1" s="7"/>
      <c r="E1" s="124" t="s">
        <v>8</v>
      </c>
      <c r="F1" s="125"/>
      <c r="G1" s="125"/>
      <c r="H1" s="126"/>
      <c r="I1" s="127"/>
      <c r="J1" s="3">
        <v>30</v>
      </c>
      <c r="K1" s="3">
        <v>30</v>
      </c>
      <c r="L1" s="3">
        <v>30</v>
      </c>
      <c r="M1" s="3">
        <v>35</v>
      </c>
      <c r="N1" s="3">
        <v>30</v>
      </c>
      <c r="O1" s="3">
        <v>25</v>
      </c>
      <c r="P1" s="3">
        <v>25</v>
      </c>
      <c r="Q1" s="3">
        <v>30</v>
      </c>
      <c r="R1" s="3">
        <v>35</v>
      </c>
      <c r="S1" s="3">
        <v>35</v>
      </c>
      <c r="T1" s="3">
        <v>30</v>
      </c>
      <c r="U1" s="3">
        <v>35</v>
      </c>
      <c r="V1" s="3">
        <v>35</v>
      </c>
      <c r="W1" s="3">
        <v>30</v>
      </c>
      <c r="X1" s="3">
        <v>30</v>
      </c>
      <c r="Y1" s="129" t="s">
        <v>25</v>
      </c>
      <c r="Z1" s="25">
        <f ca="1">TODAY()</f>
        <v>45273</v>
      </c>
    </row>
    <row r="2" spans="1:26" ht="30" customHeight="1" x14ac:dyDescent="0.25">
      <c r="B2" s="131" t="s">
        <v>1</v>
      </c>
      <c r="C2" s="132"/>
      <c r="E2" s="35" t="s">
        <v>12</v>
      </c>
      <c r="F2" s="36" t="s">
        <v>9</v>
      </c>
      <c r="G2" s="36" t="s">
        <v>10</v>
      </c>
      <c r="H2" s="4" t="s">
        <v>11</v>
      </c>
      <c r="I2" s="128"/>
      <c r="J2" s="23" t="s">
        <v>22</v>
      </c>
      <c r="K2" s="23" t="s">
        <v>5</v>
      </c>
      <c r="L2" s="23" t="s">
        <v>13</v>
      </c>
      <c r="M2" s="23" t="s">
        <v>14</v>
      </c>
      <c r="N2" s="23" t="s">
        <v>15</v>
      </c>
      <c r="O2" s="23" t="s">
        <v>56</v>
      </c>
      <c r="P2" s="23" t="s">
        <v>55</v>
      </c>
      <c r="Q2" s="23" t="s">
        <v>23</v>
      </c>
      <c r="R2" s="23" t="s">
        <v>57</v>
      </c>
      <c r="S2" s="23" t="s">
        <v>26</v>
      </c>
      <c r="T2" s="23" t="s">
        <v>19</v>
      </c>
      <c r="U2" s="23" t="s">
        <v>20</v>
      </c>
      <c r="V2" s="23" t="s">
        <v>21</v>
      </c>
      <c r="W2" s="23" t="s">
        <v>36</v>
      </c>
      <c r="X2" s="23" t="s">
        <v>41</v>
      </c>
      <c r="Y2" s="130"/>
    </row>
    <row r="3" spans="1:26" ht="15.75" thickBot="1" x14ac:dyDescent="0.3">
      <c r="B3" s="49" t="s">
        <v>0</v>
      </c>
      <c r="C3" s="50" t="s">
        <v>2</v>
      </c>
      <c r="E3" s="32">
        <f>B1</f>
        <v>42064</v>
      </c>
      <c r="F3" s="71"/>
      <c r="G3" s="71"/>
      <c r="H3" s="72"/>
      <c r="I3" s="31">
        <f>E3</f>
        <v>42064</v>
      </c>
      <c r="J3" s="37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9"/>
      <c r="Y3" s="61">
        <f>SUM(J3:X3)</f>
        <v>0</v>
      </c>
    </row>
    <row r="4" spans="1:26" ht="15.75" thickBot="1" x14ac:dyDescent="0.3">
      <c r="B4" s="14" t="s">
        <v>3</v>
      </c>
      <c r="C4" s="15">
        <f>F34</f>
        <v>38700</v>
      </c>
      <c r="E4" s="32">
        <f>E3+1</f>
        <v>42065</v>
      </c>
      <c r="F4" s="71"/>
      <c r="G4" s="71"/>
      <c r="H4" s="72"/>
      <c r="I4" s="31">
        <f t="shared" ref="I4:I33" si="0">E4</f>
        <v>42065</v>
      </c>
      <c r="J4" s="40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2"/>
      <c r="Y4" s="62">
        <f>SUM(J4:X4)</f>
        <v>0</v>
      </c>
    </row>
    <row r="5" spans="1:26" ht="15" customHeight="1" thickBot="1" x14ac:dyDescent="0.3">
      <c r="A5" s="51"/>
      <c r="E5" s="32">
        <f t="shared" ref="E5:E33" si="1">E4+1</f>
        <v>42066</v>
      </c>
      <c r="F5" s="71"/>
      <c r="G5" s="71"/>
      <c r="H5" s="72"/>
      <c r="I5" s="31">
        <f t="shared" si="0"/>
        <v>42066</v>
      </c>
      <c r="J5" s="40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2"/>
      <c r="Y5" s="62">
        <f t="shared" ref="Y5:Y33" si="2">SUM(J5:X5)</f>
        <v>0</v>
      </c>
    </row>
    <row r="6" spans="1:26" ht="15" customHeight="1" x14ac:dyDescent="0.25">
      <c r="A6" s="139" t="s">
        <v>42</v>
      </c>
      <c r="B6" s="76" t="s">
        <v>7</v>
      </c>
      <c r="C6" s="11">
        <v>4000</v>
      </c>
      <c r="E6" s="32">
        <f t="shared" si="1"/>
        <v>42067</v>
      </c>
      <c r="F6" s="71">
        <f>3790</f>
        <v>3790</v>
      </c>
      <c r="G6" s="71">
        <v>330</v>
      </c>
      <c r="H6" s="72" t="s">
        <v>73</v>
      </c>
      <c r="I6" s="31">
        <f t="shared" si="0"/>
        <v>42067</v>
      </c>
      <c r="J6" s="40">
        <v>3</v>
      </c>
      <c r="K6" s="41">
        <v>4</v>
      </c>
      <c r="L6" s="41">
        <v>0</v>
      </c>
      <c r="M6" s="41">
        <v>17</v>
      </c>
      <c r="N6" s="41">
        <v>19</v>
      </c>
      <c r="O6" s="41">
        <v>14</v>
      </c>
      <c r="P6" s="41">
        <v>8</v>
      </c>
      <c r="Q6" s="41">
        <v>10</v>
      </c>
      <c r="R6" s="41">
        <v>7</v>
      </c>
      <c r="S6" s="41">
        <v>8</v>
      </c>
      <c r="T6" s="41">
        <v>10</v>
      </c>
      <c r="U6" s="41">
        <v>4</v>
      </c>
      <c r="V6" s="41">
        <v>8</v>
      </c>
      <c r="W6" s="41">
        <v>9</v>
      </c>
      <c r="X6" s="42">
        <v>2</v>
      </c>
      <c r="Y6" s="62">
        <f t="shared" si="2"/>
        <v>123</v>
      </c>
    </row>
    <row r="7" spans="1:26" x14ac:dyDescent="0.25">
      <c r="A7" s="140"/>
      <c r="B7" s="77" t="s">
        <v>43</v>
      </c>
      <c r="C7" s="12">
        <v>40</v>
      </c>
      <c r="E7" s="32">
        <f t="shared" si="1"/>
        <v>42068</v>
      </c>
      <c r="F7" s="71"/>
      <c r="G7" s="71"/>
      <c r="H7" s="72"/>
      <c r="I7" s="31">
        <f t="shared" si="0"/>
        <v>42068</v>
      </c>
      <c r="J7" s="40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2"/>
      <c r="Y7" s="62">
        <f t="shared" si="2"/>
        <v>0</v>
      </c>
    </row>
    <row r="8" spans="1:26" x14ac:dyDescent="0.25">
      <c r="A8" s="140"/>
      <c r="B8" s="77" t="s">
        <v>4</v>
      </c>
      <c r="C8" s="13">
        <f>CEILING(INDEX('[1]Кредит Сатурн'!$C:$C,MATCH(B1,'[1]Кредит Сатурн'!$A:$A,0)),100)</f>
        <v>2800</v>
      </c>
      <c r="E8" s="32">
        <f t="shared" si="1"/>
        <v>42069</v>
      </c>
      <c r="F8" s="71"/>
      <c r="G8" s="71"/>
      <c r="H8" s="72"/>
      <c r="I8" s="31">
        <f t="shared" si="0"/>
        <v>42069</v>
      </c>
      <c r="J8" s="40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2"/>
      <c r="Y8" s="62">
        <f t="shared" si="2"/>
        <v>0</v>
      </c>
    </row>
    <row r="9" spans="1:26" x14ac:dyDescent="0.25">
      <c r="A9" s="140"/>
      <c r="B9" s="77" t="s">
        <v>27</v>
      </c>
      <c r="C9" s="12">
        <f>'[2]Расход ингредиентов'!$D$71</f>
        <v>8600</v>
      </c>
      <c r="E9" s="32">
        <f t="shared" si="1"/>
        <v>42070</v>
      </c>
      <c r="F9" s="71"/>
      <c r="G9" s="71"/>
      <c r="H9" s="72"/>
      <c r="I9" s="31">
        <f t="shared" si="0"/>
        <v>42070</v>
      </c>
      <c r="J9" s="40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2"/>
      <c r="Y9" s="62">
        <f t="shared" si="2"/>
        <v>0</v>
      </c>
    </row>
    <row r="10" spans="1:26" x14ac:dyDescent="0.25">
      <c r="A10" s="140"/>
      <c r="B10" s="77" t="s">
        <v>44</v>
      </c>
      <c r="C10" s="12">
        <v>0</v>
      </c>
      <c r="E10" s="32">
        <f t="shared" si="1"/>
        <v>42071</v>
      </c>
      <c r="F10" s="71"/>
      <c r="G10" s="71"/>
      <c r="H10" s="72"/>
      <c r="I10" s="31">
        <f t="shared" si="0"/>
        <v>42071</v>
      </c>
      <c r="J10" s="40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2"/>
      <c r="Y10" s="62">
        <f t="shared" si="2"/>
        <v>0</v>
      </c>
    </row>
    <row r="11" spans="1:26" x14ac:dyDescent="0.25">
      <c r="A11" s="140"/>
      <c r="B11" s="77" t="s">
        <v>38</v>
      </c>
      <c r="C11" s="12">
        <f>G6+G14+G28+G31</f>
        <v>860</v>
      </c>
      <c r="E11" s="32">
        <f t="shared" si="1"/>
        <v>42072</v>
      </c>
      <c r="F11" s="71"/>
      <c r="G11" s="71"/>
      <c r="H11" s="72"/>
      <c r="I11" s="31">
        <f t="shared" si="0"/>
        <v>42072</v>
      </c>
      <c r="J11" s="40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2"/>
      <c r="Y11" s="62">
        <f t="shared" si="2"/>
        <v>0</v>
      </c>
    </row>
    <row r="12" spans="1:26" x14ac:dyDescent="0.25">
      <c r="A12" s="140"/>
      <c r="B12" s="77" t="s">
        <v>39</v>
      </c>
      <c r="C12" s="12">
        <v>0</v>
      </c>
      <c r="E12" s="32">
        <f t="shared" si="1"/>
        <v>42073</v>
      </c>
      <c r="F12" s="71"/>
      <c r="G12" s="71"/>
      <c r="H12" s="72"/>
      <c r="I12" s="31">
        <f t="shared" si="0"/>
        <v>42073</v>
      </c>
      <c r="J12" s="40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2"/>
      <c r="Y12" s="62">
        <f t="shared" si="2"/>
        <v>0</v>
      </c>
    </row>
    <row r="13" spans="1:26" x14ac:dyDescent="0.25">
      <c r="A13" s="140"/>
      <c r="B13" s="77" t="s">
        <v>31</v>
      </c>
      <c r="C13" s="18">
        <v>4400</v>
      </c>
      <c r="E13" s="32">
        <f t="shared" si="1"/>
        <v>42074</v>
      </c>
      <c r="F13" s="71"/>
      <c r="G13" s="71">
        <v>100</v>
      </c>
      <c r="H13" s="72" t="s">
        <v>94</v>
      </c>
      <c r="I13" s="31">
        <f t="shared" si="0"/>
        <v>42074</v>
      </c>
      <c r="J13" s="40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2"/>
      <c r="Y13" s="62">
        <f t="shared" si="2"/>
        <v>0</v>
      </c>
    </row>
    <row r="14" spans="1:26" x14ac:dyDescent="0.25">
      <c r="A14" s="140"/>
      <c r="B14" s="77" t="s">
        <v>46</v>
      </c>
      <c r="C14" s="18">
        <v>500</v>
      </c>
      <c r="E14" s="32">
        <f t="shared" si="1"/>
        <v>42075</v>
      </c>
      <c r="F14" s="71">
        <f>8030</f>
        <v>8030</v>
      </c>
      <c r="G14" s="71">
        <f>140</f>
        <v>140</v>
      </c>
      <c r="H14" s="72" t="s">
        <v>73</v>
      </c>
      <c r="I14" s="31">
        <f t="shared" si="0"/>
        <v>42075</v>
      </c>
      <c r="J14" s="40">
        <v>9</v>
      </c>
      <c r="K14" s="41">
        <v>10</v>
      </c>
      <c r="L14" s="41">
        <v>11</v>
      </c>
      <c r="M14" s="41">
        <v>34</v>
      </c>
      <c r="N14" s="41">
        <v>46</v>
      </c>
      <c r="O14" s="41">
        <v>20</v>
      </c>
      <c r="P14" s="41">
        <v>11</v>
      </c>
      <c r="Q14" s="41">
        <v>59</v>
      </c>
      <c r="R14" s="41">
        <v>11</v>
      </c>
      <c r="S14" s="41">
        <v>12</v>
      </c>
      <c r="T14" s="41">
        <v>19</v>
      </c>
      <c r="U14" s="41">
        <v>18</v>
      </c>
      <c r="V14" s="41">
        <v>23</v>
      </c>
      <c r="W14" s="41">
        <v>17</v>
      </c>
      <c r="X14" s="42">
        <v>7</v>
      </c>
      <c r="Y14" s="62">
        <f t="shared" si="2"/>
        <v>307</v>
      </c>
    </row>
    <row r="15" spans="1:26" x14ac:dyDescent="0.25">
      <c r="A15" s="140"/>
      <c r="B15" s="77" t="s">
        <v>45</v>
      </c>
      <c r="C15" s="12">
        <f>G13+G16+G22</f>
        <v>450</v>
      </c>
      <c r="E15" s="32">
        <f t="shared" si="1"/>
        <v>42076</v>
      </c>
      <c r="F15" s="71"/>
      <c r="G15" s="71"/>
      <c r="H15" s="72"/>
      <c r="I15" s="31">
        <f t="shared" si="0"/>
        <v>42076</v>
      </c>
      <c r="J15" s="40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62">
        <f t="shared" si="2"/>
        <v>0</v>
      </c>
    </row>
    <row r="16" spans="1:26" ht="15.75" thickBot="1" x14ac:dyDescent="0.3">
      <c r="A16" s="141"/>
      <c r="B16" s="78" t="s">
        <v>47</v>
      </c>
      <c r="C16" s="53">
        <f>SUM(C6:C15)</f>
        <v>21650</v>
      </c>
      <c r="E16" s="32">
        <f t="shared" si="1"/>
        <v>42077</v>
      </c>
      <c r="F16" s="71"/>
      <c r="G16" s="71">
        <v>180</v>
      </c>
      <c r="H16" s="72" t="s">
        <v>96</v>
      </c>
      <c r="I16" s="31">
        <f t="shared" si="0"/>
        <v>42077</v>
      </c>
      <c r="J16" s="40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2"/>
      <c r="Y16" s="62">
        <f t="shared" si="2"/>
        <v>0</v>
      </c>
    </row>
    <row r="17" spans="1:25" ht="15.75" thickBot="1" x14ac:dyDescent="0.3">
      <c r="E17" s="32">
        <f t="shared" si="1"/>
        <v>42078</v>
      </c>
      <c r="F17" s="71">
        <f>520+280+180</f>
        <v>980</v>
      </c>
      <c r="G17" s="71"/>
      <c r="H17" s="72" t="s">
        <v>95</v>
      </c>
      <c r="I17" s="31">
        <f t="shared" si="0"/>
        <v>42078</v>
      </c>
      <c r="J17" s="40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2"/>
      <c r="Y17" s="62">
        <f t="shared" si="2"/>
        <v>0</v>
      </c>
    </row>
    <row r="18" spans="1:25" ht="15.75" thickBot="1" x14ac:dyDescent="0.3">
      <c r="B18" s="16" t="s">
        <v>32</v>
      </c>
      <c r="C18" s="17">
        <f>C4-C16</f>
        <v>17050</v>
      </c>
      <c r="E18" s="32">
        <f t="shared" si="1"/>
        <v>42079</v>
      </c>
      <c r="F18" s="71"/>
      <c r="G18" s="71"/>
      <c r="H18" s="72"/>
      <c r="I18" s="31">
        <f t="shared" si="0"/>
        <v>42079</v>
      </c>
      <c r="J18" s="40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2"/>
      <c r="Y18" s="62">
        <f t="shared" si="2"/>
        <v>0</v>
      </c>
    </row>
    <row r="19" spans="1:25" ht="15.75" thickBot="1" x14ac:dyDescent="0.3">
      <c r="E19" s="32">
        <f t="shared" si="1"/>
        <v>42080</v>
      </c>
      <c r="F19" s="71"/>
      <c r="G19" s="71"/>
      <c r="H19" s="72"/>
      <c r="I19" s="31">
        <f t="shared" si="0"/>
        <v>42080</v>
      </c>
      <c r="J19" s="40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2"/>
      <c r="Y19" s="62">
        <f t="shared" si="2"/>
        <v>0</v>
      </c>
    </row>
    <row r="20" spans="1:25" ht="15.75" thickBot="1" x14ac:dyDescent="0.3">
      <c r="B20" s="16" t="s">
        <v>48</v>
      </c>
      <c r="C20" s="17">
        <f>CEILING(C6+C8,100)</f>
        <v>6800</v>
      </c>
      <c r="E20" s="32">
        <f t="shared" si="1"/>
        <v>42081</v>
      </c>
      <c r="F20" s="71">
        <f>6570</f>
        <v>6570</v>
      </c>
      <c r="G20" s="71"/>
      <c r="H20" s="72" t="s">
        <v>3</v>
      </c>
      <c r="I20" s="31">
        <f t="shared" si="0"/>
        <v>42081</v>
      </c>
      <c r="J20" s="40">
        <v>11</v>
      </c>
      <c r="K20" s="41">
        <v>13</v>
      </c>
      <c r="L20" s="41">
        <v>9</v>
      </c>
      <c r="M20" s="41">
        <v>27</v>
      </c>
      <c r="N20" s="41">
        <v>28</v>
      </c>
      <c r="O20" s="41">
        <v>19</v>
      </c>
      <c r="P20" s="41">
        <v>7</v>
      </c>
      <c r="Q20" s="41">
        <v>74</v>
      </c>
      <c r="R20" s="41">
        <v>12</v>
      </c>
      <c r="S20" s="41">
        <v>6</v>
      </c>
      <c r="T20" s="41">
        <v>12</v>
      </c>
      <c r="U20" s="41">
        <v>13</v>
      </c>
      <c r="V20" s="41">
        <v>9</v>
      </c>
      <c r="W20" s="41">
        <v>6</v>
      </c>
      <c r="X20" s="42">
        <v>3</v>
      </c>
      <c r="Y20" s="62">
        <f t="shared" si="2"/>
        <v>249</v>
      </c>
    </row>
    <row r="21" spans="1:25" ht="15.75" thickBot="1" x14ac:dyDescent="0.3">
      <c r="E21" s="32">
        <f>E20+1</f>
        <v>42082</v>
      </c>
      <c r="F21" s="71">
        <f>280+390+220</f>
        <v>890</v>
      </c>
      <c r="G21" s="71"/>
      <c r="H21" s="72" t="s">
        <v>95</v>
      </c>
      <c r="I21" s="31">
        <f t="shared" si="0"/>
        <v>42082</v>
      </c>
      <c r="J21" s="40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2"/>
      <c r="Y21" s="62">
        <f t="shared" si="2"/>
        <v>0</v>
      </c>
    </row>
    <row r="22" spans="1:25" ht="15.75" thickBot="1" x14ac:dyDescent="0.3">
      <c r="B22" s="52" t="s">
        <v>53</v>
      </c>
      <c r="C22" s="63">
        <f>C18</f>
        <v>17050</v>
      </c>
      <c r="E22" s="32">
        <f t="shared" si="1"/>
        <v>42083</v>
      </c>
      <c r="F22" s="71"/>
      <c r="G22" s="71">
        <v>170</v>
      </c>
      <c r="H22" s="72" t="s">
        <v>97</v>
      </c>
      <c r="I22" s="31">
        <f t="shared" si="0"/>
        <v>42083</v>
      </c>
      <c r="J22" s="40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2"/>
      <c r="Y22" s="62">
        <f t="shared" si="2"/>
        <v>0</v>
      </c>
    </row>
    <row r="23" spans="1:25" ht="15" customHeight="1" x14ac:dyDescent="0.25">
      <c r="A23" s="133" t="s">
        <v>49</v>
      </c>
      <c r="B23" s="58" t="s">
        <v>50</v>
      </c>
      <c r="C23" s="59">
        <v>0</v>
      </c>
      <c r="E23" s="32">
        <f t="shared" si="1"/>
        <v>42084</v>
      </c>
      <c r="F23" s="71"/>
      <c r="G23" s="71"/>
      <c r="H23" s="72"/>
      <c r="I23" s="31">
        <f t="shared" si="0"/>
        <v>42084</v>
      </c>
      <c r="J23" s="40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2"/>
      <c r="Y23" s="62">
        <f t="shared" si="2"/>
        <v>0</v>
      </c>
    </row>
    <row r="24" spans="1:25" x14ac:dyDescent="0.25">
      <c r="A24" s="134"/>
      <c r="B24" s="54" t="s">
        <v>40</v>
      </c>
      <c r="C24" s="55">
        <v>0</v>
      </c>
      <c r="E24" s="32">
        <f t="shared" si="1"/>
        <v>42085</v>
      </c>
      <c r="F24" s="71">
        <f>90+270</f>
        <v>360</v>
      </c>
      <c r="G24" s="71"/>
      <c r="H24" s="72" t="s">
        <v>95</v>
      </c>
      <c r="I24" s="31">
        <f t="shared" si="0"/>
        <v>42085</v>
      </c>
      <c r="J24" s="40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2"/>
      <c r="Y24" s="62">
        <f t="shared" si="2"/>
        <v>0</v>
      </c>
    </row>
    <row r="25" spans="1:25" x14ac:dyDescent="0.25">
      <c r="A25" s="134"/>
      <c r="B25" s="54" t="s">
        <v>51</v>
      </c>
      <c r="C25" s="55">
        <v>0</v>
      </c>
      <c r="E25" s="32">
        <f t="shared" si="1"/>
        <v>42086</v>
      </c>
      <c r="F25" s="71"/>
      <c r="G25" s="71"/>
      <c r="H25" s="72"/>
      <c r="I25" s="31">
        <f t="shared" si="0"/>
        <v>42086</v>
      </c>
      <c r="J25" s="40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2"/>
      <c r="Y25" s="62">
        <f t="shared" si="2"/>
        <v>0</v>
      </c>
    </row>
    <row r="26" spans="1:25" ht="15.75" thickBot="1" x14ac:dyDescent="0.3">
      <c r="A26" s="134"/>
      <c r="B26" s="57" t="s">
        <v>52</v>
      </c>
      <c r="C26" s="56">
        <v>0</v>
      </c>
      <c r="E26" s="32">
        <f t="shared" si="1"/>
        <v>42087</v>
      </c>
      <c r="F26" s="71"/>
      <c r="G26" s="71"/>
      <c r="H26" s="72"/>
      <c r="I26" s="31">
        <f t="shared" si="0"/>
        <v>42087</v>
      </c>
      <c r="J26" s="40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2"/>
      <c r="Y26" s="62">
        <f t="shared" si="2"/>
        <v>0</v>
      </c>
    </row>
    <row r="27" spans="1:25" ht="15.75" thickBot="1" x14ac:dyDescent="0.3">
      <c r="A27" s="134"/>
      <c r="B27" s="52" t="s">
        <v>54</v>
      </c>
      <c r="C27" s="60">
        <f>C22-SUM(C23:C26)</f>
        <v>17050</v>
      </c>
      <c r="E27" s="32">
        <f t="shared" si="1"/>
        <v>42088</v>
      </c>
      <c r="F27" s="71"/>
      <c r="G27" s="71"/>
      <c r="H27" s="72"/>
      <c r="I27" s="31">
        <f t="shared" si="0"/>
        <v>42088</v>
      </c>
      <c r="J27" s="40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2"/>
      <c r="Y27" s="62">
        <f t="shared" si="2"/>
        <v>0</v>
      </c>
    </row>
    <row r="28" spans="1:25" ht="15.75" thickBot="1" x14ac:dyDescent="0.3">
      <c r="A28" s="135"/>
      <c r="B28" s="33"/>
      <c r="C28" s="34"/>
      <c r="E28" s="32">
        <f t="shared" si="1"/>
        <v>42089</v>
      </c>
      <c r="F28" s="71">
        <f>8770</f>
        <v>8770</v>
      </c>
      <c r="G28" s="29">
        <f>150</f>
        <v>150</v>
      </c>
      <c r="H28" s="72" t="s">
        <v>73</v>
      </c>
      <c r="I28" s="31">
        <f t="shared" si="0"/>
        <v>42089</v>
      </c>
      <c r="J28" s="40">
        <v>14</v>
      </c>
      <c r="K28" s="41">
        <v>9</v>
      </c>
      <c r="L28" s="41">
        <v>10</v>
      </c>
      <c r="M28" s="41">
        <v>35</v>
      </c>
      <c r="N28" s="41">
        <v>36</v>
      </c>
      <c r="O28" s="41">
        <v>22</v>
      </c>
      <c r="P28" s="41">
        <v>13</v>
      </c>
      <c r="Q28" s="41">
        <v>28</v>
      </c>
      <c r="R28" s="41">
        <v>11</v>
      </c>
      <c r="S28" s="41">
        <v>6</v>
      </c>
      <c r="T28" s="41">
        <v>10</v>
      </c>
      <c r="U28" s="41">
        <v>38</v>
      </c>
      <c r="V28" s="41">
        <v>18</v>
      </c>
      <c r="W28" s="41">
        <v>7</v>
      </c>
      <c r="X28" s="42">
        <v>9</v>
      </c>
      <c r="Y28" s="62">
        <f t="shared" si="2"/>
        <v>266</v>
      </c>
    </row>
    <row r="29" spans="1:25" ht="15.75" thickBot="1" x14ac:dyDescent="0.3">
      <c r="B29" s="16" t="s">
        <v>28</v>
      </c>
      <c r="C29" s="17">
        <f>'3'!G35+'2'!C29</f>
        <v>82335</v>
      </c>
      <c r="E29" s="32">
        <f t="shared" si="1"/>
        <v>42090</v>
      </c>
      <c r="F29" s="71"/>
      <c r="G29" s="71"/>
      <c r="H29" s="72"/>
      <c r="I29" s="31">
        <f t="shared" si="0"/>
        <v>42090</v>
      </c>
      <c r="J29" s="40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2"/>
      <c r="Y29" s="62">
        <f t="shared" si="2"/>
        <v>0</v>
      </c>
    </row>
    <row r="30" spans="1:25" x14ac:dyDescent="0.25">
      <c r="B30" s="46"/>
      <c r="C30" s="47"/>
      <c r="E30" s="32">
        <f t="shared" si="1"/>
        <v>42091</v>
      </c>
      <c r="F30" s="29"/>
      <c r="G30" s="29"/>
      <c r="H30" s="72"/>
      <c r="I30" s="31">
        <f t="shared" si="0"/>
        <v>42091</v>
      </c>
      <c r="J30" s="40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2"/>
      <c r="Y30" s="62">
        <f t="shared" si="2"/>
        <v>0</v>
      </c>
    </row>
    <row r="31" spans="1:25" x14ac:dyDescent="0.25">
      <c r="B31" s="43"/>
      <c r="C31" s="48"/>
      <c r="E31" s="32">
        <f t="shared" si="1"/>
        <v>42092</v>
      </c>
      <c r="F31" s="29">
        <f>3350</f>
        <v>3350</v>
      </c>
      <c r="G31" s="29">
        <v>240</v>
      </c>
      <c r="H31" s="72" t="s">
        <v>73</v>
      </c>
      <c r="I31" s="31">
        <f t="shared" si="0"/>
        <v>42092</v>
      </c>
      <c r="J31" s="40">
        <v>5</v>
      </c>
      <c r="K31" s="41">
        <v>4</v>
      </c>
      <c r="L31" s="41">
        <v>4</v>
      </c>
      <c r="M31" s="41">
        <v>18</v>
      </c>
      <c r="N31" s="41">
        <v>10</v>
      </c>
      <c r="O31" s="41">
        <v>2</v>
      </c>
      <c r="P31" s="41">
        <v>4</v>
      </c>
      <c r="Q31" s="41">
        <v>11</v>
      </c>
      <c r="R31" s="41">
        <v>5</v>
      </c>
      <c r="S31" s="41">
        <v>3</v>
      </c>
      <c r="T31" s="41">
        <v>6</v>
      </c>
      <c r="U31" s="41">
        <v>4</v>
      </c>
      <c r="V31" s="41">
        <v>10</v>
      </c>
      <c r="W31" s="41">
        <v>21</v>
      </c>
      <c r="X31" s="42">
        <v>1</v>
      </c>
      <c r="Y31" s="62">
        <f t="shared" si="2"/>
        <v>108</v>
      </c>
    </row>
    <row r="32" spans="1:25" x14ac:dyDescent="0.25">
      <c r="B32" s="43"/>
      <c r="C32" s="48"/>
      <c r="E32" s="32">
        <f t="shared" si="1"/>
        <v>42093</v>
      </c>
      <c r="F32" s="29">
        <f>5960</f>
        <v>5960</v>
      </c>
      <c r="G32" s="29"/>
      <c r="H32" s="72" t="s">
        <v>83</v>
      </c>
      <c r="I32" s="31">
        <f t="shared" si="0"/>
        <v>42093</v>
      </c>
      <c r="J32" s="40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2"/>
      <c r="Y32" s="62">
        <f t="shared" si="2"/>
        <v>0</v>
      </c>
    </row>
    <row r="33" spans="2:25" ht="15.75" thickBot="1" x14ac:dyDescent="0.3">
      <c r="B33" s="33"/>
      <c r="C33" s="34"/>
      <c r="E33" s="32">
        <f t="shared" si="1"/>
        <v>42094</v>
      </c>
      <c r="F33" s="29"/>
      <c r="G33" s="29"/>
      <c r="H33" s="72"/>
      <c r="I33" s="31">
        <f t="shared" si="0"/>
        <v>42094</v>
      </c>
      <c r="J33" s="40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2"/>
      <c r="Y33" s="62">
        <f t="shared" si="2"/>
        <v>0</v>
      </c>
    </row>
    <row r="34" spans="2:25" ht="15.75" thickBot="1" x14ac:dyDescent="0.3">
      <c r="B34" s="43"/>
      <c r="C34" s="48"/>
      <c r="E34" s="19" t="s">
        <v>6</v>
      </c>
      <c r="F34" s="6">
        <f>SUM(F3:F33)</f>
        <v>38700</v>
      </c>
      <c r="G34" s="6">
        <f>SUM(G3:G33)</f>
        <v>1310</v>
      </c>
      <c r="H34" s="2"/>
      <c r="I34" s="22" t="s">
        <v>33</v>
      </c>
      <c r="J34" s="24">
        <f t="shared" ref="J34:Y34" si="3">SUM(J3:J33)</f>
        <v>42</v>
      </c>
      <c r="K34" s="24">
        <f t="shared" si="3"/>
        <v>40</v>
      </c>
      <c r="L34" s="24">
        <f t="shared" si="3"/>
        <v>34</v>
      </c>
      <c r="M34" s="24">
        <f t="shared" si="3"/>
        <v>131</v>
      </c>
      <c r="N34" s="24">
        <f t="shared" si="3"/>
        <v>139</v>
      </c>
      <c r="O34" s="24">
        <f t="shared" si="3"/>
        <v>77</v>
      </c>
      <c r="P34" s="24">
        <f t="shared" si="3"/>
        <v>43</v>
      </c>
      <c r="Q34" s="24">
        <f t="shared" si="3"/>
        <v>182</v>
      </c>
      <c r="R34" s="24">
        <f t="shared" si="3"/>
        <v>46</v>
      </c>
      <c r="S34" s="24">
        <f t="shared" si="3"/>
        <v>35</v>
      </c>
      <c r="T34" s="24">
        <f t="shared" si="3"/>
        <v>57</v>
      </c>
      <c r="U34" s="24">
        <f t="shared" si="3"/>
        <v>77</v>
      </c>
      <c r="V34" s="24">
        <f t="shared" si="3"/>
        <v>68</v>
      </c>
      <c r="W34" s="24">
        <f t="shared" si="3"/>
        <v>60</v>
      </c>
      <c r="X34" s="24">
        <f t="shared" si="3"/>
        <v>22</v>
      </c>
      <c r="Y34" s="24">
        <f t="shared" si="3"/>
        <v>1053</v>
      </c>
    </row>
    <row r="35" spans="2:25" ht="15.75" thickBot="1" x14ac:dyDescent="0.3">
      <c r="B35" s="43"/>
      <c r="C35" s="48"/>
      <c r="E35" s="136" t="s">
        <v>37</v>
      </c>
      <c r="F35" s="137"/>
      <c r="G35" s="1">
        <f>F34-G34</f>
        <v>37390</v>
      </c>
      <c r="I35"/>
    </row>
    <row r="36" spans="2:25" ht="24" x14ac:dyDescent="0.25">
      <c r="B36" s="43"/>
      <c r="C36" s="48"/>
      <c r="J36" s="8" t="s">
        <v>22</v>
      </c>
      <c r="K36" s="8" t="s">
        <v>5</v>
      </c>
      <c r="L36" s="8" t="s">
        <v>13</v>
      </c>
      <c r="M36" s="8" t="s">
        <v>14</v>
      </c>
      <c r="N36" s="8" t="s">
        <v>15</v>
      </c>
      <c r="O36" s="8" t="s">
        <v>16</v>
      </c>
      <c r="P36" s="8" t="s">
        <v>17</v>
      </c>
      <c r="Q36" s="8" t="s">
        <v>23</v>
      </c>
      <c r="R36" s="8" t="s">
        <v>24</v>
      </c>
      <c r="S36" s="8" t="s">
        <v>26</v>
      </c>
      <c r="T36" s="8" t="s">
        <v>19</v>
      </c>
      <c r="U36" s="8" t="s">
        <v>20</v>
      </c>
      <c r="V36" s="8" t="s">
        <v>21</v>
      </c>
      <c r="W36" s="8" t="s">
        <v>36</v>
      </c>
      <c r="X36" s="8" t="s">
        <v>18</v>
      </c>
    </row>
    <row r="37" spans="2:25" ht="15.75" thickBot="1" x14ac:dyDescent="0.3">
      <c r="B37" s="43"/>
      <c r="C37" s="48"/>
      <c r="J37" s="9">
        <f>J34</f>
        <v>42</v>
      </c>
      <c r="K37" s="9">
        <f t="shared" ref="K37:X37" si="4">K34</f>
        <v>40</v>
      </c>
      <c r="L37" s="9">
        <f t="shared" si="4"/>
        <v>34</v>
      </c>
      <c r="M37" s="9">
        <f t="shared" si="4"/>
        <v>131</v>
      </c>
      <c r="N37" s="9">
        <f t="shared" si="4"/>
        <v>139</v>
      </c>
      <c r="O37" s="9">
        <f t="shared" si="4"/>
        <v>77</v>
      </c>
      <c r="P37" s="9">
        <f t="shared" si="4"/>
        <v>43</v>
      </c>
      <c r="Q37" s="9">
        <f t="shared" si="4"/>
        <v>182</v>
      </c>
      <c r="R37" s="9">
        <f t="shared" si="4"/>
        <v>46</v>
      </c>
      <c r="S37" s="9">
        <f t="shared" si="4"/>
        <v>35</v>
      </c>
      <c r="T37" s="9">
        <f t="shared" si="4"/>
        <v>57</v>
      </c>
      <c r="U37" s="9">
        <f t="shared" si="4"/>
        <v>77</v>
      </c>
      <c r="V37" s="9">
        <f t="shared" si="4"/>
        <v>68</v>
      </c>
      <c r="W37" s="9">
        <f t="shared" si="4"/>
        <v>60</v>
      </c>
      <c r="X37" s="9">
        <f t="shared" si="4"/>
        <v>22</v>
      </c>
    </row>
    <row r="38" spans="2:25" x14ac:dyDescent="0.25">
      <c r="B38" s="45"/>
      <c r="C38" s="45"/>
      <c r="I38" s="21"/>
      <c r="J38" s="10">
        <f>J34*'[3]Себестоимость '!D17</f>
        <v>390.95</v>
      </c>
      <c r="K38" s="10">
        <f>K34*'[3]Себестоимость '!E17</f>
        <v>331.73333333333335</v>
      </c>
      <c r="L38" s="10">
        <f>L34*'[3]Себестоимость '!F17</f>
        <v>301.86333333333334</v>
      </c>
      <c r="M38" s="10">
        <f>M34*'[3]Себестоимость '!G17</f>
        <v>1258.0366666666664</v>
      </c>
      <c r="N38" s="10">
        <f>N34*'[3]Себестоимость '!H17</f>
        <v>1266.6143333333332</v>
      </c>
      <c r="O38" s="10">
        <f>O34*'[3]Себестоимость '!I17</f>
        <v>278.99666666666667</v>
      </c>
      <c r="P38" s="10" t="e">
        <f>P34*'[3]Себестоимость '!J17</f>
        <v>#REF!</v>
      </c>
      <c r="Q38" s="10">
        <f>Q34*'[3]Себестоимость '!K17</f>
        <v>586.04</v>
      </c>
      <c r="R38" s="10">
        <f>R34*'[3]Себестоимость '!L17</f>
        <v>208.38000000000002</v>
      </c>
      <c r="S38" s="10">
        <f>S34*'[3]Себестоимость '!M17</f>
        <v>119.94500000000001</v>
      </c>
      <c r="T38" s="10">
        <f>T34*'[3]Себестоимость '!N17</f>
        <v>211.185</v>
      </c>
      <c r="U38" s="10">
        <f>U34*'[3]Себестоимость '!O17</f>
        <v>393.85500000000002</v>
      </c>
      <c r="V38" s="10">
        <f>V34*'[3]Себестоимость '!P17</f>
        <v>301.24</v>
      </c>
      <c r="W38" s="10">
        <f>W34*'[3]Себестоимость '!Q17</f>
        <v>291.89999999999998</v>
      </c>
      <c r="X38" s="10">
        <f>X34*'[3]Себестоимость '!R17</f>
        <v>103.94999999999999</v>
      </c>
      <c r="Y38" s="73" t="s">
        <v>30</v>
      </c>
    </row>
    <row r="39" spans="2:25" ht="15.75" thickBot="1" x14ac:dyDescent="0.3">
      <c r="B39" s="138"/>
      <c r="C39" s="138"/>
      <c r="Y39" s="74" t="s">
        <v>29</v>
      </c>
    </row>
    <row r="40" spans="2:25" x14ac:dyDescent="0.25">
      <c r="B40" s="46"/>
      <c r="C40" s="47"/>
    </row>
    <row r="41" spans="2:25" x14ac:dyDescent="0.25">
      <c r="B41" s="43"/>
      <c r="C41" s="48"/>
    </row>
    <row r="42" spans="2:25" x14ac:dyDescent="0.25">
      <c r="B42" s="45"/>
      <c r="C42" s="45"/>
    </row>
    <row r="43" spans="2:25" x14ac:dyDescent="0.25">
      <c r="B43" s="138"/>
      <c r="C43" s="138"/>
    </row>
    <row r="44" spans="2:25" x14ac:dyDescent="0.25">
      <c r="B44" s="33"/>
      <c r="C44" s="34"/>
    </row>
    <row r="45" spans="2:25" x14ac:dyDescent="0.25">
      <c r="B45" s="43"/>
      <c r="C45" s="44"/>
    </row>
  </sheetData>
  <mergeCells count="10">
    <mergeCell ref="A23:A28"/>
    <mergeCell ref="E35:F35"/>
    <mergeCell ref="B39:C39"/>
    <mergeCell ref="B43:C43"/>
    <mergeCell ref="A6:A16"/>
    <mergeCell ref="B1:C1"/>
    <mergeCell ref="E1:H1"/>
    <mergeCell ref="I1:I2"/>
    <mergeCell ref="Y1:Y2"/>
    <mergeCell ref="B2:C2"/>
  </mergeCells>
  <conditionalFormatting sqref="Y3:Y33">
    <cfRule type="cellIs" dxfId="79" priority="8" operator="equal">
      <formula>0</formula>
    </cfRule>
  </conditionalFormatting>
  <conditionalFormatting sqref="E3:E33">
    <cfRule type="cellIs" dxfId="78" priority="7" operator="equal">
      <formula>$Z$1</formula>
    </cfRule>
  </conditionalFormatting>
  <conditionalFormatting sqref="I3:I33">
    <cfRule type="cellIs" dxfId="77" priority="6" operator="equal">
      <formula>$Z$1</formula>
    </cfRule>
  </conditionalFormatting>
  <conditionalFormatting sqref="I34">
    <cfRule type="expression" dxfId="76" priority="5">
      <formula>$E$3:$E$32=TODAY()</formula>
    </cfRule>
  </conditionalFormatting>
  <conditionalFormatting sqref="I34">
    <cfRule type="cellIs" dxfId="75" priority="4" operator="equal">
      <formula>$Z$1</formula>
    </cfRule>
  </conditionalFormatting>
  <conditionalFormatting sqref="E28:F28 I28:Y28 E29:Y30 E3:Y27 E32:Y33 E31:G31 I31:Y31">
    <cfRule type="expression" dxfId="74" priority="9">
      <formula>$E3=$Z$1</formula>
    </cfRule>
  </conditionalFormatting>
  <conditionalFormatting sqref="G28">
    <cfRule type="expression" dxfId="73" priority="3">
      <formula>$E28=$Z$1</formula>
    </cfRule>
  </conditionalFormatting>
  <conditionalFormatting sqref="H28">
    <cfRule type="expression" dxfId="72" priority="2">
      <formula>$E28=$Z$1</formula>
    </cfRule>
  </conditionalFormatting>
  <conditionalFormatting sqref="H31">
    <cfRule type="expression" dxfId="71" priority="1">
      <formula>$E31=$Z$1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Z45"/>
  <sheetViews>
    <sheetView zoomScale="85" zoomScaleNormal="85" workbookViewId="0">
      <pane ySplit="2" topLeftCell="A3" activePane="bottomLeft" state="frozen"/>
      <selection activeCell="C14" sqref="C14"/>
      <selection pane="bottomLeft" activeCell="H28" sqref="H28"/>
    </sheetView>
  </sheetViews>
  <sheetFormatPr defaultRowHeight="15" x14ac:dyDescent="0.25"/>
  <cols>
    <col min="1" max="1" width="6.5703125" customWidth="1"/>
    <col min="2" max="2" width="30.42578125" bestFit="1" customWidth="1"/>
    <col min="3" max="3" width="15.28515625" customWidth="1"/>
    <col min="5" max="5" width="8.42578125" bestFit="1" customWidth="1"/>
    <col min="6" max="6" width="12.7109375" bestFit="1" customWidth="1"/>
    <col min="7" max="7" width="12.140625" bestFit="1" customWidth="1"/>
    <col min="8" max="8" width="48.42578125" bestFit="1" customWidth="1"/>
    <col min="9" max="9" width="8.7109375" style="20" bestFit="1" customWidth="1"/>
    <col min="10" max="10" width="12.28515625" customWidth="1"/>
    <col min="11" max="11" width="11.28515625" customWidth="1"/>
    <col min="12" max="12" width="10.140625" customWidth="1"/>
    <col min="13" max="16" width="9.28515625" bestFit="1" customWidth="1"/>
    <col min="17" max="17" width="9.85546875" bestFit="1" customWidth="1"/>
    <col min="18" max="22" width="9.28515625" bestFit="1" customWidth="1"/>
    <col min="23" max="23" width="11" customWidth="1"/>
    <col min="24" max="24" width="10.5703125" bestFit="1" customWidth="1"/>
    <col min="25" max="25" width="9.7109375" style="5" customWidth="1"/>
    <col min="26" max="26" width="10.28515625" bestFit="1" customWidth="1"/>
    <col min="249" max="249" width="30.42578125" bestFit="1" customWidth="1"/>
    <col min="250" max="250" width="12.140625" customWidth="1"/>
    <col min="251" max="251" width="29.140625" bestFit="1" customWidth="1"/>
    <col min="252" max="252" width="12.5703125" customWidth="1"/>
    <col min="254" max="254" width="24" customWidth="1"/>
    <col min="255" max="255" width="22.28515625" customWidth="1"/>
    <col min="257" max="257" width="10.140625" bestFit="1" customWidth="1"/>
    <col min="258" max="258" width="12.7109375" bestFit="1" customWidth="1"/>
    <col min="259" max="259" width="12.140625" bestFit="1" customWidth="1"/>
    <col min="260" max="260" width="24.42578125" bestFit="1" customWidth="1"/>
    <col min="505" max="505" width="30.42578125" bestFit="1" customWidth="1"/>
    <col min="506" max="506" width="12.140625" customWidth="1"/>
    <col min="507" max="507" width="29.140625" bestFit="1" customWidth="1"/>
    <col min="508" max="508" width="12.5703125" customWidth="1"/>
    <col min="510" max="510" width="24" customWidth="1"/>
    <col min="511" max="511" width="22.28515625" customWidth="1"/>
    <col min="513" max="513" width="10.140625" bestFit="1" customWidth="1"/>
    <col min="514" max="514" width="12.7109375" bestFit="1" customWidth="1"/>
    <col min="515" max="515" width="12.140625" bestFit="1" customWidth="1"/>
    <col min="516" max="516" width="24.42578125" bestFit="1" customWidth="1"/>
    <col min="761" max="761" width="30.42578125" bestFit="1" customWidth="1"/>
    <col min="762" max="762" width="12.140625" customWidth="1"/>
    <col min="763" max="763" width="29.140625" bestFit="1" customWidth="1"/>
    <col min="764" max="764" width="12.5703125" customWidth="1"/>
    <col min="766" max="766" width="24" customWidth="1"/>
    <col min="767" max="767" width="22.28515625" customWidth="1"/>
    <col min="769" max="769" width="10.140625" bestFit="1" customWidth="1"/>
    <col min="770" max="770" width="12.7109375" bestFit="1" customWidth="1"/>
    <col min="771" max="771" width="12.140625" bestFit="1" customWidth="1"/>
    <col min="772" max="772" width="24.42578125" bestFit="1" customWidth="1"/>
    <col min="1017" max="1017" width="30.42578125" bestFit="1" customWidth="1"/>
    <col min="1018" max="1018" width="12.140625" customWidth="1"/>
    <col min="1019" max="1019" width="29.140625" bestFit="1" customWidth="1"/>
    <col min="1020" max="1020" width="12.5703125" customWidth="1"/>
    <col min="1022" max="1022" width="24" customWidth="1"/>
    <col min="1023" max="1023" width="22.28515625" customWidth="1"/>
    <col min="1025" max="1025" width="10.140625" bestFit="1" customWidth="1"/>
    <col min="1026" max="1026" width="12.7109375" bestFit="1" customWidth="1"/>
    <col min="1027" max="1027" width="12.140625" bestFit="1" customWidth="1"/>
    <col min="1028" max="1028" width="24.42578125" bestFit="1" customWidth="1"/>
    <col min="1273" max="1273" width="30.42578125" bestFit="1" customWidth="1"/>
    <col min="1274" max="1274" width="12.140625" customWidth="1"/>
    <col min="1275" max="1275" width="29.140625" bestFit="1" customWidth="1"/>
    <col min="1276" max="1276" width="12.5703125" customWidth="1"/>
    <col min="1278" max="1278" width="24" customWidth="1"/>
    <col min="1279" max="1279" width="22.28515625" customWidth="1"/>
    <col min="1281" max="1281" width="10.140625" bestFit="1" customWidth="1"/>
    <col min="1282" max="1282" width="12.7109375" bestFit="1" customWidth="1"/>
    <col min="1283" max="1283" width="12.140625" bestFit="1" customWidth="1"/>
    <col min="1284" max="1284" width="24.42578125" bestFit="1" customWidth="1"/>
    <col min="1529" max="1529" width="30.42578125" bestFit="1" customWidth="1"/>
    <col min="1530" max="1530" width="12.140625" customWidth="1"/>
    <col min="1531" max="1531" width="29.140625" bestFit="1" customWidth="1"/>
    <col min="1532" max="1532" width="12.5703125" customWidth="1"/>
    <col min="1534" max="1534" width="24" customWidth="1"/>
    <col min="1535" max="1535" width="22.28515625" customWidth="1"/>
    <col min="1537" max="1537" width="10.140625" bestFit="1" customWidth="1"/>
    <col min="1538" max="1538" width="12.7109375" bestFit="1" customWidth="1"/>
    <col min="1539" max="1539" width="12.140625" bestFit="1" customWidth="1"/>
    <col min="1540" max="1540" width="24.42578125" bestFit="1" customWidth="1"/>
    <col min="1785" max="1785" width="30.42578125" bestFit="1" customWidth="1"/>
    <col min="1786" max="1786" width="12.140625" customWidth="1"/>
    <col min="1787" max="1787" width="29.140625" bestFit="1" customWidth="1"/>
    <col min="1788" max="1788" width="12.5703125" customWidth="1"/>
    <col min="1790" max="1790" width="24" customWidth="1"/>
    <col min="1791" max="1791" width="22.28515625" customWidth="1"/>
    <col min="1793" max="1793" width="10.140625" bestFit="1" customWidth="1"/>
    <col min="1794" max="1794" width="12.7109375" bestFit="1" customWidth="1"/>
    <col min="1795" max="1795" width="12.140625" bestFit="1" customWidth="1"/>
    <col min="1796" max="1796" width="24.42578125" bestFit="1" customWidth="1"/>
    <col min="2041" max="2041" width="30.42578125" bestFit="1" customWidth="1"/>
    <col min="2042" max="2042" width="12.140625" customWidth="1"/>
    <col min="2043" max="2043" width="29.140625" bestFit="1" customWidth="1"/>
    <col min="2044" max="2044" width="12.5703125" customWidth="1"/>
    <col min="2046" max="2046" width="24" customWidth="1"/>
    <col min="2047" max="2047" width="22.28515625" customWidth="1"/>
    <col min="2049" max="2049" width="10.140625" bestFit="1" customWidth="1"/>
    <col min="2050" max="2050" width="12.7109375" bestFit="1" customWidth="1"/>
    <col min="2051" max="2051" width="12.140625" bestFit="1" customWidth="1"/>
    <col min="2052" max="2052" width="24.42578125" bestFit="1" customWidth="1"/>
    <col min="2297" max="2297" width="30.42578125" bestFit="1" customWidth="1"/>
    <col min="2298" max="2298" width="12.140625" customWidth="1"/>
    <col min="2299" max="2299" width="29.140625" bestFit="1" customWidth="1"/>
    <col min="2300" max="2300" width="12.5703125" customWidth="1"/>
    <col min="2302" max="2302" width="24" customWidth="1"/>
    <col min="2303" max="2303" width="22.28515625" customWidth="1"/>
    <col min="2305" max="2305" width="10.140625" bestFit="1" customWidth="1"/>
    <col min="2306" max="2306" width="12.7109375" bestFit="1" customWidth="1"/>
    <col min="2307" max="2307" width="12.140625" bestFit="1" customWidth="1"/>
    <col min="2308" max="2308" width="24.42578125" bestFit="1" customWidth="1"/>
    <col min="2553" max="2553" width="30.42578125" bestFit="1" customWidth="1"/>
    <col min="2554" max="2554" width="12.140625" customWidth="1"/>
    <col min="2555" max="2555" width="29.140625" bestFit="1" customWidth="1"/>
    <col min="2556" max="2556" width="12.5703125" customWidth="1"/>
    <col min="2558" max="2558" width="24" customWidth="1"/>
    <col min="2559" max="2559" width="22.28515625" customWidth="1"/>
    <col min="2561" max="2561" width="10.140625" bestFit="1" customWidth="1"/>
    <col min="2562" max="2562" width="12.7109375" bestFit="1" customWidth="1"/>
    <col min="2563" max="2563" width="12.140625" bestFit="1" customWidth="1"/>
    <col min="2564" max="2564" width="24.42578125" bestFit="1" customWidth="1"/>
    <col min="2809" max="2809" width="30.42578125" bestFit="1" customWidth="1"/>
    <col min="2810" max="2810" width="12.140625" customWidth="1"/>
    <col min="2811" max="2811" width="29.140625" bestFit="1" customWidth="1"/>
    <col min="2812" max="2812" width="12.5703125" customWidth="1"/>
    <col min="2814" max="2814" width="24" customWidth="1"/>
    <col min="2815" max="2815" width="22.28515625" customWidth="1"/>
    <col min="2817" max="2817" width="10.140625" bestFit="1" customWidth="1"/>
    <col min="2818" max="2818" width="12.7109375" bestFit="1" customWidth="1"/>
    <col min="2819" max="2819" width="12.140625" bestFit="1" customWidth="1"/>
    <col min="2820" max="2820" width="24.42578125" bestFit="1" customWidth="1"/>
    <col min="3065" max="3065" width="30.42578125" bestFit="1" customWidth="1"/>
    <col min="3066" max="3066" width="12.140625" customWidth="1"/>
    <col min="3067" max="3067" width="29.140625" bestFit="1" customWidth="1"/>
    <col min="3068" max="3068" width="12.5703125" customWidth="1"/>
    <col min="3070" max="3070" width="24" customWidth="1"/>
    <col min="3071" max="3071" width="22.28515625" customWidth="1"/>
    <col min="3073" max="3073" width="10.140625" bestFit="1" customWidth="1"/>
    <col min="3074" max="3074" width="12.7109375" bestFit="1" customWidth="1"/>
    <col min="3075" max="3075" width="12.140625" bestFit="1" customWidth="1"/>
    <col min="3076" max="3076" width="24.42578125" bestFit="1" customWidth="1"/>
    <col min="3321" max="3321" width="30.42578125" bestFit="1" customWidth="1"/>
    <col min="3322" max="3322" width="12.140625" customWidth="1"/>
    <col min="3323" max="3323" width="29.140625" bestFit="1" customWidth="1"/>
    <col min="3324" max="3324" width="12.5703125" customWidth="1"/>
    <col min="3326" max="3326" width="24" customWidth="1"/>
    <col min="3327" max="3327" width="22.28515625" customWidth="1"/>
    <col min="3329" max="3329" width="10.140625" bestFit="1" customWidth="1"/>
    <col min="3330" max="3330" width="12.7109375" bestFit="1" customWidth="1"/>
    <col min="3331" max="3331" width="12.140625" bestFit="1" customWidth="1"/>
    <col min="3332" max="3332" width="24.42578125" bestFit="1" customWidth="1"/>
    <col min="3577" max="3577" width="30.42578125" bestFit="1" customWidth="1"/>
    <col min="3578" max="3578" width="12.140625" customWidth="1"/>
    <col min="3579" max="3579" width="29.140625" bestFit="1" customWidth="1"/>
    <col min="3580" max="3580" width="12.5703125" customWidth="1"/>
    <col min="3582" max="3582" width="24" customWidth="1"/>
    <col min="3583" max="3583" width="22.28515625" customWidth="1"/>
    <col min="3585" max="3585" width="10.140625" bestFit="1" customWidth="1"/>
    <col min="3586" max="3586" width="12.7109375" bestFit="1" customWidth="1"/>
    <col min="3587" max="3587" width="12.140625" bestFit="1" customWidth="1"/>
    <col min="3588" max="3588" width="24.42578125" bestFit="1" customWidth="1"/>
    <col min="3833" max="3833" width="30.42578125" bestFit="1" customWidth="1"/>
    <col min="3834" max="3834" width="12.140625" customWidth="1"/>
    <col min="3835" max="3835" width="29.140625" bestFit="1" customWidth="1"/>
    <col min="3836" max="3836" width="12.5703125" customWidth="1"/>
    <col min="3838" max="3838" width="24" customWidth="1"/>
    <col min="3839" max="3839" width="22.28515625" customWidth="1"/>
    <col min="3841" max="3841" width="10.140625" bestFit="1" customWidth="1"/>
    <col min="3842" max="3842" width="12.7109375" bestFit="1" customWidth="1"/>
    <col min="3843" max="3843" width="12.140625" bestFit="1" customWidth="1"/>
    <col min="3844" max="3844" width="24.42578125" bestFit="1" customWidth="1"/>
    <col min="4089" max="4089" width="30.42578125" bestFit="1" customWidth="1"/>
    <col min="4090" max="4090" width="12.140625" customWidth="1"/>
    <col min="4091" max="4091" width="29.140625" bestFit="1" customWidth="1"/>
    <col min="4092" max="4092" width="12.5703125" customWidth="1"/>
    <col min="4094" max="4094" width="24" customWidth="1"/>
    <col min="4095" max="4095" width="22.28515625" customWidth="1"/>
    <col min="4097" max="4097" width="10.140625" bestFit="1" customWidth="1"/>
    <col min="4098" max="4098" width="12.7109375" bestFit="1" customWidth="1"/>
    <col min="4099" max="4099" width="12.140625" bestFit="1" customWidth="1"/>
    <col min="4100" max="4100" width="24.42578125" bestFit="1" customWidth="1"/>
    <col min="4345" max="4345" width="30.42578125" bestFit="1" customWidth="1"/>
    <col min="4346" max="4346" width="12.140625" customWidth="1"/>
    <col min="4347" max="4347" width="29.140625" bestFit="1" customWidth="1"/>
    <col min="4348" max="4348" width="12.5703125" customWidth="1"/>
    <col min="4350" max="4350" width="24" customWidth="1"/>
    <col min="4351" max="4351" width="22.28515625" customWidth="1"/>
    <col min="4353" max="4353" width="10.140625" bestFit="1" customWidth="1"/>
    <col min="4354" max="4354" width="12.7109375" bestFit="1" customWidth="1"/>
    <col min="4355" max="4355" width="12.140625" bestFit="1" customWidth="1"/>
    <col min="4356" max="4356" width="24.42578125" bestFit="1" customWidth="1"/>
    <col min="4601" max="4601" width="30.42578125" bestFit="1" customWidth="1"/>
    <col min="4602" max="4602" width="12.140625" customWidth="1"/>
    <col min="4603" max="4603" width="29.140625" bestFit="1" customWidth="1"/>
    <col min="4604" max="4604" width="12.5703125" customWidth="1"/>
    <col min="4606" max="4606" width="24" customWidth="1"/>
    <col min="4607" max="4607" width="22.28515625" customWidth="1"/>
    <col min="4609" max="4609" width="10.140625" bestFit="1" customWidth="1"/>
    <col min="4610" max="4610" width="12.7109375" bestFit="1" customWidth="1"/>
    <col min="4611" max="4611" width="12.140625" bestFit="1" customWidth="1"/>
    <col min="4612" max="4612" width="24.42578125" bestFit="1" customWidth="1"/>
    <col min="4857" max="4857" width="30.42578125" bestFit="1" customWidth="1"/>
    <col min="4858" max="4858" width="12.140625" customWidth="1"/>
    <col min="4859" max="4859" width="29.140625" bestFit="1" customWidth="1"/>
    <col min="4860" max="4860" width="12.5703125" customWidth="1"/>
    <col min="4862" max="4862" width="24" customWidth="1"/>
    <col min="4863" max="4863" width="22.28515625" customWidth="1"/>
    <col min="4865" max="4865" width="10.140625" bestFit="1" customWidth="1"/>
    <col min="4866" max="4866" width="12.7109375" bestFit="1" customWidth="1"/>
    <col min="4867" max="4867" width="12.140625" bestFit="1" customWidth="1"/>
    <col min="4868" max="4868" width="24.42578125" bestFit="1" customWidth="1"/>
    <col min="5113" max="5113" width="30.42578125" bestFit="1" customWidth="1"/>
    <col min="5114" max="5114" width="12.140625" customWidth="1"/>
    <col min="5115" max="5115" width="29.140625" bestFit="1" customWidth="1"/>
    <col min="5116" max="5116" width="12.5703125" customWidth="1"/>
    <col min="5118" max="5118" width="24" customWidth="1"/>
    <col min="5119" max="5119" width="22.28515625" customWidth="1"/>
    <col min="5121" max="5121" width="10.140625" bestFit="1" customWidth="1"/>
    <col min="5122" max="5122" width="12.7109375" bestFit="1" customWidth="1"/>
    <col min="5123" max="5123" width="12.140625" bestFit="1" customWidth="1"/>
    <col min="5124" max="5124" width="24.42578125" bestFit="1" customWidth="1"/>
    <col min="5369" max="5369" width="30.42578125" bestFit="1" customWidth="1"/>
    <col min="5370" max="5370" width="12.140625" customWidth="1"/>
    <col min="5371" max="5371" width="29.140625" bestFit="1" customWidth="1"/>
    <col min="5372" max="5372" width="12.5703125" customWidth="1"/>
    <col min="5374" max="5374" width="24" customWidth="1"/>
    <col min="5375" max="5375" width="22.28515625" customWidth="1"/>
    <col min="5377" max="5377" width="10.140625" bestFit="1" customWidth="1"/>
    <col min="5378" max="5378" width="12.7109375" bestFit="1" customWidth="1"/>
    <col min="5379" max="5379" width="12.140625" bestFit="1" customWidth="1"/>
    <col min="5380" max="5380" width="24.42578125" bestFit="1" customWidth="1"/>
    <col min="5625" max="5625" width="30.42578125" bestFit="1" customWidth="1"/>
    <col min="5626" max="5626" width="12.140625" customWidth="1"/>
    <col min="5627" max="5627" width="29.140625" bestFit="1" customWidth="1"/>
    <col min="5628" max="5628" width="12.5703125" customWidth="1"/>
    <col min="5630" max="5630" width="24" customWidth="1"/>
    <col min="5631" max="5631" width="22.28515625" customWidth="1"/>
    <col min="5633" max="5633" width="10.140625" bestFit="1" customWidth="1"/>
    <col min="5634" max="5634" width="12.7109375" bestFit="1" customWidth="1"/>
    <col min="5635" max="5635" width="12.140625" bestFit="1" customWidth="1"/>
    <col min="5636" max="5636" width="24.42578125" bestFit="1" customWidth="1"/>
    <col min="5881" max="5881" width="30.42578125" bestFit="1" customWidth="1"/>
    <col min="5882" max="5882" width="12.140625" customWidth="1"/>
    <col min="5883" max="5883" width="29.140625" bestFit="1" customWidth="1"/>
    <col min="5884" max="5884" width="12.5703125" customWidth="1"/>
    <col min="5886" max="5886" width="24" customWidth="1"/>
    <col min="5887" max="5887" width="22.28515625" customWidth="1"/>
    <col min="5889" max="5889" width="10.140625" bestFit="1" customWidth="1"/>
    <col min="5890" max="5890" width="12.7109375" bestFit="1" customWidth="1"/>
    <col min="5891" max="5891" width="12.140625" bestFit="1" customWidth="1"/>
    <col min="5892" max="5892" width="24.42578125" bestFit="1" customWidth="1"/>
    <col min="6137" max="6137" width="30.42578125" bestFit="1" customWidth="1"/>
    <col min="6138" max="6138" width="12.140625" customWidth="1"/>
    <col min="6139" max="6139" width="29.140625" bestFit="1" customWidth="1"/>
    <col min="6140" max="6140" width="12.5703125" customWidth="1"/>
    <col min="6142" max="6142" width="24" customWidth="1"/>
    <col min="6143" max="6143" width="22.28515625" customWidth="1"/>
    <col min="6145" max="6145" width="10.140625" bestFit="1" customWidth="1"/>
    <col min="6146" max="6146" width="12.7109375" bestFit="1" customWidth="1"/>
    <col min="6147" max="6147" width="12.140625" bestFit="1" customWidth="1"/>
    <col min="6148" max="6148" width="24.42578125" bestFit="1" customWidth="1"/>
    <col min="6393" max="6393" width="30.42578125" bestFit="1" customWidth="1"/>
    <col min="6394" max="6394" width="12.140625" customWidth="1"/>
    <col min="6395" max="6395" width="29.140625" bestFit="1" customWidth="1"/>
    <col min="6396" max="6396" width="12.5703125" customWidth="1"/>
    <col min="6398" max="6398" width="24" customWidth="1"/>
    <col min="6399" max="6399" width="22.28515625" customWidth="1"/>
    <col min="6401" max="6401" width="10.140625" bestFit="1" customWidth="1"/>
    <col min="6402" max="6402" width="12.7109375" bestFit="1" customWidth="1"/>
    <col min="6403" max="6403" width="12.140625" bestFit="1" customWidth="1"/>
    <col min="6404" max="6404" width="24.42578125" bestFit="1" customWidth="1"/>
    <col min="6649" max="6649" width="30.42578125" bestFit="1" customWidth="1"/>
    <col min="6650" max="6650" width="12.140625" customWidth="1"/>
    <col min="6651" max="6651" width="29.140625" bestFit="1" customWidth="1"/>
    <col min="6652" max="6652" width="12.5703125" customWidth="1"/>
    <col min="6654" max="6654" width="24" customWidth="1"/>
    <col min="6655" max="6655" width="22.28515625" customWidth="1"/>
    <col min="6657" max="6657" width="10.140625" bestFit="1" customWidth="1"/>
    <col min="6658" max="6658" width="12.7109375" bestFit="1" customWidth="1"/>
    <col min="6659" max="6659" width="12.140625" bestFit="1" customWidth="1"/>
    <col min="6660" max="6660" width="24.42578125" bestFit="1" customWidth="1"/>
    <col min="6905" max="6905" width="30.42578125" bestFit="1" customWidth="1"/>
    <col min="6906" max="6906" width="12.140625" customWidth="1"/>
    <col min="6907" max="6907" width="29.140625" bestFit="1" customWidth="1"/>
    <col min="6908" max="6908" width="12.5703125" customWidth="1"/>
    <col min="6910" max="6910" width="24" customWidth="1"/>
    <col min="6911" max="6911" width="22.28515625" customWidth="1"/>
    <col min="6913" max="6913" width="10.140625" bestFit="1" customWidth="1"/>
    <col min="6914" max="6914" width="12.7109375" bestFit="1" customWidth="1"/>
    <col min="6915" max="6915" width="12.140625" bestFit="1" customWidth="1"/>
    <col min="6916" max="6916" width="24.42578125" bestFit="1" customWidth="1"/>
    <col min="7161" max="7161" width="30.42578125" bestFit="1" customWidth="1"/>
    <col min="7162" max="7162" width="12.140625" customWidth="1"/>
    <col min="7163" max="7163" width="29.140625" bestFit="1" customWidth="1"/>
    <col min="7164" max="7164" width="12.5703125" customWidth="1"/>
    <col min="7166" max="7166" width="24" customWidth="1"/>
    <col min="7167" max="7167" width="22.28515625" customWidth="1"/>
    <col min="7169" max="7169" width="10.140625" bestFit="1" customWidth="1"/>
    <col min="7170" max="7170" width="12.7109375" bestFit="1" customWidth="1"/>
    <col min="7171" max="7171" width="12.140625" bestFit="1" customWidth="1"/>
    <col min="7172" max="7172" width="24.42578125" bestFit="1" customWidth="1"/>
    <col min="7417" max="7417" width="30.42578125" bestFit="1" customWidth="1"/>
    <col min="7418" max="7418" width="12.140625" customWidth="1"/>
    <col min="7419" max="7419" width="29.140625" bestFit="1" customWidth="1"/>
    <col min="7420" max="7420" width="12.5703125" customWidth="1"/>
    <col min="7422" max="7422" width="24" customWidth="1"/>
    <col min="7423" max="7423" width="22.28515625" customWidth="1"/>
    <col min="7425" max="7425" width="10.140625" bestFit="1" customWidth="1"/>
    <col min="7426" max="7426" width="12.7109375" bestFit="1" customWidth="1"/>
    <col min="7427" max="7427" width="12.140625" bestFit="1" customWidth="1"/>
    <col min="7428" max="7428" width="24.42578125" bestFit="1" customWidth="1"/>
    <col min="7673" max="7673" width="30.42578125" bestFit="1" customWidth="1"/>
    <col min="7674" max="7674" width="12.140625" customWidth="1"/>
    <col min="7675" max="7675" width="29.140625" bestFit="1" customWidth="1"/>
    <col min="7676" max="7676" width="12.5703125" customWidth="1"/>
    <col min="7678" max="7678" width="24" customWidth="1"/>
    <col min="7679" max="7679" width="22.28515625" customWidth="1"/>
    <col min="7681" max="7681" width="10.140625" bestFit="1" customWidth="1"/>
    <col min="7682" max="7682" width="12.7109375" bestFit="1" customWidth="1"/>
    <col min="7683" max="7683" width="12.140625" bestFit="1" customWidth="1"/>
    <col min="7684" max="7684" width="24.42578125" bestFit="1" customWidth="1"/>
    <col min="7929" max="7929" width="30.42578125" bestFit="1" customWidth="1"/>
    <col min="7930" max="7930" width="12.140625" customWidth="1"/>
    <col min="7931" max="7931" width="29.140625" bestFit="1" customWidth="1"/>
    <col min="7932" max="7932" width="12.5703125" customWidth="1"/>
    <col min="7934" max="7934" width="24" customWidth="1"/>
    <col min="7935" max="7935" width="22.28515625" customWidth="1"/>
    <col min="7937" max="7937" width="10.140625" bestFit="1" customWidth="1"/>
    <col min="7938" max="7938" width="12.7109375" bestFit="1" customWidth="1"/>
    <col min="7939" max="7939" width="12.140625" bestFit="1" customWidth="1"/>
    <col min="7940" max="7940" width="24.42578125" bestFit="1" customWidth="1"/>
    <col min="8185" max="8185" width="30.42578125" bestFit="1" customWidth="1"/>
    <col min="8186" max="8186" width="12.140625" customWidth="1"/>
    <col min="8187" max="8187" width="29.140625" bestFit="1" customWidth="1"/>
    <col min="8188" max="8188" width="12.5703125" customWidth="1"/>
    <col min="8190" max="8190" width="24" customWidth="1"/>
    <col min="8191" max="8191" width="22.28515625" customWidth="1"/>
    <col min="8193" max="8193" width="10.140625" bestFit="1" customWidth="1"/>
    <col min="8194" max="8194" width="12.7109375" bestFit="1" customWidth="1"/>
    <col min="8195" max="8195" width="12.140625" bestFit="1" customWidth="1"/>
    <col min="8196" max="8196" width="24.42578125" bestFit="1" customWidth="1"/>
    <col min="8441" max="8441" width="30.42578125" bestFit="1" customWidth="1"/>
    <col min="8442" max="8442" width="12.140625" customWidth="1"/>
    <col min="8443" max="8443" width="29.140625" bestFit="1" customWidth="1"/>
    <col min="8444" max="8444" width="12.5703125" customWidth="1"/>
    <col min="8446" max="8446" width="24" customWidth="1"/>
    <col min="8447" max="8447" width="22.28515625" customWidth="1"/>
    <col min="8449" max="8449" width="10.140625" bestFit="1" customWidth="1"/>
    <col min="8450" max="8450" width="12.7109375" bestFit="1" customWidth="1"/>
    <col min="8451" max="8451" width="12.140625" bestFit="1" customWidth="1"/>
    <col min="8452" max="8452" width="24.42578125" bestFit="1" customWidth="1"/>
    <col min="8697" max="8697" width="30.42578125" bestFit="1" customWidth="1"/>
    <col min="8698" max="8698" width="12.140625" customWidth="1"/>
    <col min="8699" max="8699" width="29.140625" bestFit="1" customWidth="1"/>
    <col min="8700" max="8700" width="12.5703125" customWidth="1"/>
    <col min="8702" max="8702" width="24" customWidth="1"/>
    <col min="8703" max="8703" width="22.28515625" customWidth="1"/>
    <col min="8705" max="8705" width="10.140625" bestFit="1" customWidth="1"/>
    <col min="8706" max="8706" width="12.7109375" bestFit="1" customWidth="1"/>
    <col min="8707" max="8707" width="12.140625" bestFit="1" customWidth="1"/>
    <col min="8708" max="8708" width="24.42578125" bestFit="1" customWidth="1"/>
    <col min="8953" max="8953" width="30.42578125" bestFit="1" customWidth="1"/>
    <col min="8954" max="8954" width="12.140625" customWidth="1"/>
    <col min="8955" max="8955" width="29.140625" bestFit="1" customWidth="1"/>
    <col min="8956" max="8956" width="12.5703125" customWidth="1"/>
    <col min="8958" max="8958" width="24" customWidth="1"/>
    <col min="8959" max="8959" width="22.28515625" customWidth="1"/>
    <col min="8961" max="8961" width="10.140625" bestFit="1" customWidth="1"/>
    <col min="8962" max="8962" width="12.7109375" bestFit="1" customWidth="1"/>
    <col min="8963" max="8963" width="12.140625" bestFit="1" customWidth="1"/>
    <col min="8964" max="8964" width="24.42578125" bestFit="1" customWidth="1"/>
    <col min="9209" max="9209" width="30.42578125" bestFit="1" customWidth="1"/>
    <col min="9210" max="9210" width="12.140625" customWidth="1"/>
    <col min="9211" max="9211" width="29.140625" bestFit="1" customWidth="1"/>
    <col min="9212" max="9212" width="12.5703125" customWidth="1"/>
    <col min="9214" max="9214" width="24" customWidth="1"/>
    <col min="9215" max="9215" width="22.28515625" customWidth="1"/>
    <col min="9217" max="9217" width="10.140625" bestFit="1" customWidth="1"/>
    <col min="9218" max="9218" width="12.7109375" bestFit="1" customWidth="1"/>
    <col min="9219" max="9219" width="12.140625" bestFit="1" customWidth="1"/>
    <col min="9220" max="9220" width="24.42578125" bestFit="1" customWidth="1"/>
    <col min="9465" max="9465" width="30.42578125" bestFit="1" customWidth="1"/>
    <col min="9466" max="9466" width="12.140625" customWidth="1"/>
    <col min="9467" max="9467" width="29.140625" bestFit="1" customWidth="1"/>
    <col min="9468" max="9468" width="12.5703125" customWidth="1"/>
    <col min="9470" max="9470" width="24" customWidth="1"/>
    <col min="9471" max="9471" width="22.28515625" customWidth="1"/>
    <col min="9473" max="9473" width="10.140625" bestFit="1" customWidth="1"/>
    <col min="9474" max="9474" width="12.7109375" bestFit="1" customWidth="1"/>
    <col min="9475" max="9475" width="12.140625" bestFit="1" customWidth="1"/>
    <col min="9476" max="9476" width="24.42578125" bestFit="1" customWidth="1"/>
    <col min="9721" max="9721" width="30.42578125" bestFit="1" customWidth="1"/>
    <col min="9722" max="9722" width="12.140625" customWidth="1"/>
    <col min="9723" max="9723" width="29.140625" bestFit="1" customWidth="1"/>
    <col min="9724" max="9724" width="12.5703125" customWidth="1"/>
    <col min="9726" max="9726" width="24" customWidth="1"/>
    <col min="9727" max="9727" width="22.28515625" customWidth="1"/>
    <col min="9729" max="9729" width="10.140625" bestFit="1" customWidth="1"/>
    <col min="9730" max="9730" width="12.7109375" bestFit="1" customWidth="1"/>
    <col min="9731" max="9731" width="12.140625" bestFit="1" customWidth="1"/>
    <col min="9732" max="9732" width="24.42578125" bestFit="1" customWidth="1"/>
    <col min="9977" max="9977" width="30.42578125" bestFit="1" customWidth="1"/>
    <col min="9978" max="9978" width="12.140625" customWidth="1"/>
    <col min="9979" max="9979" width="29.140625" bestFit="1" customWidth="1"/>
    <col min="9980" max="9980" width="12.5703125" customWidth="1"/>
    <col min="9982" max="9982" width="24" customWidth="1"/>
    <col min="9983" max="9983" width="22.28515625" customWidth="1"/>
    <col min="9985" max="9985" width="10.140625" bestFit="1" customWidth="1"/>
    <col min="9986" max="9986" width="12.7109375" bestFit="1" customWidth="1"/>
    <col min="9987" max="9987" width="12.140625" bestFit="1" customWidth="1"/>
    <col min="9988" max="9988" width="24.42578125" bestFit="1" customWidth="1"/>
    <col min="10233" max="10233" width="30.42578125" bestFit="1" customWidth="1"/>
    <col min="10234" max="10234" width="12.140625" customWidth="1"/>
    <col min="10235" max="10235" width="29.140625" bestFit="1" customWidth="1"/>
    <col min="10236" max="10236" width="12.5703125" customWidth="1"/>
    <col min="10238" max="10238" width="24" customWidth="1"/>
    <col min="10239" max="10239" width="22.28515625" customWidth="1"/>
    <col min="10241" max="10241" width="10.140625" bestFit="1" customWidth="1"/>
    <col min="10242" max="10242" width="12.7109375" bestFit="1" customWidth="1"/>
    <col min="10243" max="10243" width="12.140625" bestFit="1" customWidth="1"/>
    <col min="10244" max="10244" width="24.42578125" bestFit="1" customWidth="1"/>
    <col min="10489" max="10489" width="30.42578125" bestFit="1" customWidth="1"/>
    <col min="10490" max="10490" width="12.140625" customWidth="1"/>
    <col min="10491" max="10491" width="29.140625" bestFit="1" customWidth="1"/>
    <col min="10492" max="10492" width="12.5703125" customWidth="1"/>
    <col min="10494" max="10494" width="24" customWidth="1"/>
    <col min="10495" max="10495" width="22.28515625" customWidth="1"/>
    <col min="10497" max="10497" width="10.140625" bestFit="1" customWidth="1"/>
    <col min="10498" max="10498" width="12.7109375" bestFit="1" customWidth="1"/>
    <col min="10499" max="10499" width="12.140625" bestFit="1" customWidth="1"/>
    <col min="10500" max="10500" width="24.42578125" bestFit="1" customWidth="1"/>
    <col min="10745" max="10745" width="30.42578125" bestFit="1" customWidth="1"/>
    <col min="10746" max="10746" width="12.140625" customWidth="1"/>
    <col min="10747" max="10747" width="29.140625" bestFit="1" customWidth="1"/>
    <col min="10748" max="10748" width="12.5703125" customWidth="1"/>
    <col min="10750" max="10750" width="24" customWidth="1"/>
    <col min="10751" max="10751" width="22.28515625" customWidth="1"/>
    <col min="10753" max="10753" width="10.140625" bestFit="1" customWidth="1"/>
    <col min="10754" max="10754" width="12.7109375" bestFit="1" customWidth="1"/>
    <col min="10755" max="10755" width="12.140625" bestFit="1" customWidth="1"/>
    <col min="10756" max="10756" width="24.42578125" bestFit="1" customWidth="1"/>
    <col min="11001" max="11001" width="30.42578125" bestFit="1" customWidth="1"/>
    <col min="11002" max="11002" width="12.140625" customWidth="1"/>
    <col min="11003" max="11003" width="29.140625" bestFit="1" customWidth="1"/>
    <col min="11004" max="11004" width="12.5703125" customWidth="1"/>
    <col min="11006" max="11006" width="24" customWidth="1"/>
    <col min="11007" max="11007" width="22.28515625" customWidth="1"/>
    <col min="11009" max="11009" width="10.140625" bestFit="1" customWidth="1"/>
    <col min="11010" max="11010" width="12.7109375" bestFit="1" customWidth="1"/>
    <col min="11011" max="11011" width="12.140625" bestFit="1" customWidth="1"/>
    <col min="11012" max="11012" width="24.42578125" bestFit="1" customWidth="1"/>
    <col min="11257" max="11257" width="30.42578125" bestFit="1" customWidth="1"/>
    <col min="11258" max="11258" width="12.140625" customWidth="1"/>
    <col min="11259" max="11259" width="29.140625" bestFit="1" customWidth="1"/>
    <col min="11260" max="11260" width="12.5703125" customWidth="1"/>
    <col min="11262" max="11262" width="24" customWidth="1"/>
    <col min="11263" max="11263" width="22.28515625" customWidth="1"/>
    <col min="11265" max="11265" width="10.140625" bestFit="1" customWidth="1"/>
    <col min="11266" max="11266" width="12.7109375" bestFit="1" customWidth="1"/>
    <col min="11267" max="11267" width="12.140625" bestFit="1" customWidth="1"/>
    <col min="11268" max="11268" width="24.42578125" bestFit="1" customWidth="1"/>
    <col min="11513" max="11513" width="30.42578125" bestFit="1" customWidth="1"/>
    <col min="11514" max="11514" width="12.140625" customWidth="1"/>
    <col min="11515" max="11515" width="29.140625" bestFit="1" customWidth="1"/>
    <col min="11516" max="11516" width="12.5703125" customWidth="1"/>
    <col min="11518" max="11518" width="24" customWidth="1"/>
    <col min="11519" max="11519" width="22.28515625" customWidth="1"/>
    <col min="11521" max="11521" width="10.140625" bestFit="1" customWidth="1"/>
    <col min="11522" max="11522" width="12.7109375" bestFit="1" customWidth="1"/>
    <col min="11523" max="11523" width="12.140625" bestFit="1" customWidth="1"/>
    <col min="11524" max="11524" width="24.42578125" bestFit="1" customWidth="1"/>
    <col min="11769" max="11769" width="30.42578125" bestFit="1" customWidth="1"/>
    <col min="11770" max="11770" width="12.140625" customWidth="1"/>
    <col min="11771" max="11771" width="29.140625" bestFit="1" customWidth="1"/>
    <col min="11772" max="11772" width="12.5703125" customWidth="1"/>
    <col min="11774" max="11774" width="24" customWidth="1"/>
    <col min="11775" max="11775" width="22.28515625" customWidth="1"/>
    <col min="11777" max="11777" width="10.140625" bestFit="1" customWidth="1"/>
    <col min="11778" max="11778" width="12.7109375" bestFit="1" customWidth="1"/>
    <col min="11779" max="11779" width="12.140625" bestFit="1" customWidth="1"/>
    <col min="11780" max="11780" width="24.42578125" bestFit="1" customWidth="1"/>
    <col min="12025" max="12025" width="30.42578125" bestFit="1" customWidth="1"/>
    <col min="12026" max="12026" width="12.140625" customWidth="1"/>
    <col min="12027" max="12027" width="29.140625" bestFit="1" customWidth="1"/>
    <col min="12028" max="12028" width="12.5703125" customWidth="1"/>
    <col min="12030" max="12030" width="24" customWidth="1"/>
    <col min="12031" max="12031" width="22.28515625" customWidth="1"/>
    <col min="12033" max="12033" width="10.140625" bestFit="1" customWidth="1"/>
    <col min="12034" max="12034" width="12.7109375" bestFit="1" customWidth="1"/>
    <col min="12035" max="12035" width="12.140625" bestFit="1" customWidth="1"/>
    <col min="12036" max="12036" width="24.42578125" bestFit="1" customWidth="1"/>
    <col min="12281" max="12281" width="30.42578125" bestFit="1" customWidth="1"/>
    <col min="12282" max="12282" width="12.140625" customWidth="1"/>
    <col min="12283" max="12283" width="29.140625" bestFit="1" customWidth="1"/>
    <col min="12284" max="12284" width="12.5703125" customWidth="1"/>
    <col min="12286" max="12286" width="24" customWidth="1"/>
    <col min="12287" max="12287" width="22.28515625" customWidth="1"/>
    <col min="12289" max="12289" width="10.140625" bestFit="1" customWidth="1"/>
    <col min="12290" max="12290" width="12.7109375" bestFit="1" customWidth="1"/>
    <col min="12291" max="12291" width="12.140625" bestFit="1" customWidth="1"/>
    <col min="12292" max="12292" width="24.42578125" bestFit="1" customWidth="1"/>
    <col min="12537" max="12537" width="30.42578125" bestFit="1" customWidth="1"/>
    <col min="12538" max="12538" width="12.140625" customWidth="1"/>
    <col min="12539" max="12539" width="29.140625" bestFit="1" customWidth="1"/>
    <col min="12540" max="12540" width="12.5703125" customWidth="1"/>
    <col min="12542" max="12542" width="24" customWidth="1"/>
    <col min="12543" max="12543" width="22.28515625" customWidth="1"/>
    <col min="12545" max="12545" width="10.140625" bestFit="1" customWidth="1"/>
    <col min="12546" max="12546" width="12.7109375" bestFit="1" customWidth="1"/>
    <col min="12547" max="12547" width="12.140625" bestFit="1" customWidth="1"/>
    <col min="12548" max="12548" width="24.42578125" bestFit="1" customWidth="1"/>
    <col min="12793" max="12793" width="30.42578125" bestFit="1" customWidth="1"/>
    <col min="12794" max="12794" width="12.140625" customWidth="1"/>
    <col min="12795" max="12795" width="29.140625" bestFit="1" customWidth="1"/>
    <col min="12796" max="12796" width="12.5703125" customWidth="1"/>
    <col min="12798" max="12798" width="24" customWidth="1"/>
    <col min="12799" max="12799" width="22.28515625" customWidth="1"/>
    <col min="12801" max="12801" width="10.140625" bestFit="1" customWidth="1"/>
    <col min="12802" max="12802" width="12.7109375" bestFit="1" customWidth="1"/>
    <col min="12803" max="12803" width="12.140625" bestFit="1" customWidth="1"/>
    <col min="12804" max="12804" width="24.42578125" bestFit="1" customWidth="1"/>
    <col min="13049" max="13049" width="30.42578125" bestFit="1" customWidth="1"/>
    <col min="13050" max="13050" width="12.140625" customWidth="1"/>
    <col min="13051" max="13051" width="29.140625" bestFit="1" customWidth="1"/>
    <col min="13052" max="13052" width="12.5703125" customWidth="1"/>
    <col min="13054" max="13054" width="24" customWidth="1"/>
    <col min="13055" max="13055" width="22.28515625" customWidth="1"/>
    <col min="13057" max="13057" width="10.140625" bestFit="1" customWidth="1"/>
    <col min="13058" max="13058" width="12.7109375" bestFit="1" customWidth="1"/>
    <col min="13059" max="13059" width="12.140625" bestFit="1" customWidth="1"/>
    <col min="13060" max="13060" width="24.42578125" bestFit="1" customWidth="1"/>
    <col min="13305" max="13305" width="30.42578125" bestFit="1" customWidth="1"/>
    <col min="13306" max="13306" width="12.140625" customWidth="1"/>
    <col min="13307" max="13307" width="29.140625" bestFit="1" customWidth="1"/>
    <col min="13308" max="13308" width="12.5703125" customWidth="1"/>
    <col min="13310" max="13310" width="24" customWidth="1"/>
    <col min="13311" max="13311" width="22.28515625" customWidth="1"/>
    <col min="13313" max="13313" width="10.140625" bestFit="1" customWidth="1"/>
    <col min="13314" max="13314" width="12.7109375" bestFit="1" customWidth="1"/>
    <col min="13315" max="13315" width="12.140625" bestFit="1" customWidth="1"/>
    <col min="13316" max="13316" width="24.42578125" bestFit="1" customWidth="1"/>
    <col min="13561" max="13561" width="30.42578125" bestFit="1" customWidth="1"/>
    <col min="13562" max="13562" width="12.140625" customWidth="1"/>
    <col min="13563" max="13563" width="29.140625" bestFit="1" customWidth="1"/>
    <col min="13564" max="13564" width="12.5703125" customWidth="1"/>
    <col min="13566" max="13566" width="24" customWidth="1"/>
    <col min="13567" max="13567" width="22.28515625" customWidth="1"/>
    <col min="13569" max="13569" width="10.140625" bestFit="1" customWidth="1"/>
    <col min="13570" max="13570" width="12.7109375" bestFit="1" customWidth="1"/>
    <col min="13571" max="13571" width="12.140625" bestFit="1" customWidth="1"/>
    <col min="13572" max="13572" width="24.42578125" bestFit="1" customWidth="1"/>
    <col min="13817" max="13817" width="30.42578125" bestFit="1" customWidth="1"/>
    <col min="13818" max="13818" width="12.140625" customWidth="1"/>
    <col min="13819" max="13819" width="29.140625" bestFit="1" customWidth="1"/>
    <col min="13820" max="13820" width="12.5703125" customWidth="1"/>
    <col min="13822" max="13822" width="24" customWidth="1"/>
    <col min="13823" max="13823" width="22.28515625" customWidth="1"/>
    <col min="13825" max="13825" width="10.140625" bestFit="1" customWidth="1"/>
    <col min="13826" max="13826" width="12.7109375" bestFit="1" customWidth="1"/>
    <col min="13827" max="13827" width="12.140625" bestFit="1" customWidth="1"/>
    <col min="13828" max="13828" width="24.42578125" bestFit="1" customWidth="1"/>
    <col min="14073" max="14073" width="30.42578125" bestFit="1" customWidth="1"/>
    <col min="14074" max="14074" width="12.140625" customWidth="1"/>
    <col min="14075" max="14075" width="29.140625" bestFit="1" customWidth="1"/>
    <col min="14076" max="14076" width="12.5703125" customWidth="1"/>
    <col min="14078" max="14078" width="24" customWidth="1"/>
    <col min="14079" max="14079" width="22.28515625" customWidth="1"/>
    <col min="14081" max="14081" width="10.140625" bestFit="1" customWidth="1"/>
    <col min="14082" max="14082" width="12.7109375" bestFit="1" customWidth="1"/>
    <col min="14083" max="14083" width="12.140625" bestFit="1" customWidth="1"/>
    <col min="14084" max="14084" width="24.42578125" bestFit="1" customWidth="1"/>
    <col min="14329" max="14329" width="30.42578125" bestFit="1" customWidth="1"/>
    <col min="14330" max="14330" width="12.140625" customWidth="1"/>
    <col min="14331" max="14331" width="29.140625" bestFit="1" customWidth="1"/>
    <col min="14332" max="14332" width="12.5703125" customWidth="1"/>
    <col min="14334" max="14334" width="24" customWidth="1"/>
    <col min="14335" max="14335" width="22.28515625" customWidth="1"/>
    <col min="14337" max="14337" width="10.140625" bestFit="1" customWidth="1"/>
    <col min="14338" max="14338" width="12.7109375" bestFit="1" customWidth="1"/>
    <col min="14339" max="14339" width="12.140625" bestFit="1" customWidth="1"/>
    <col min="14340" max="14340" width="24.42578125" bestFit="1" customWidth="1"/>
    <col min="14585" max="14585" width="30.42578125" bestFit="1" customWidth="1"/>
    <col min="14586" max="14586" width="12.140625" customWidth="1"/>
    <col min="14587" max="14587" width="29.140625" bestFit="1" customWidth="1"/>
    <col min="14588" max="14588" width="12.5703125" customWidth="1"/>
    <col min="14590" max="14590" width="24" customWidth="1"/>
    <col min="14591" max="14591" width="22.28515625" customWidth="1"/>
    <col min="14593" max="14593" width="10.140625" bestFit="1" customWidth="1"/>
    <col min="14594" max="14594" width="12.7109375" bestFit="1" customWidth="1"/>
    <col min="14595" max="14595" width="12.140625" bestFit="1" customWidth="1"/>
    <col min="14596" max="14596" width="24.42578125" bestFit="1" customWidth="1"/>
    <col min="14841" max="14841" width="30.42578125" bestFit="1" customWidth="1"/>
    <col min="14842" max="14842" width="12.140625" customWidth="1"/>
    <col min="14843" max="14843" width="29.140625" bestFit="1" customWidth="1"/>
    <col min="14844" max="14844" width="12.5703125" customWidth="1"/>
    <col min="14846" max="14846" width="24" customWidth="1"/>
    <col min="14847" max="14847" width="22.28515625" customWidth="1"/>
    <col min="14849" max="14849" width="10.140625" bestFit="1" customWidth="1"/>
    <col min="14850" max="14850" width="12.7109375" bestFit="1" customWidth="1"/>
    <col min="14851" max="14851" width="12.140625" bestFit="1" customWidth="1"/>
    <col min="14852" max="14852" width="24.42578125" bestFit="1" customWidth="1"/>
    <col min="15097" max="15097" width="30.42578125" bestFit="1" customWidth="1"/>
    <col min="15098" max="15098" width="12.140625" customWidth="1"/>
    <col min="15099" max="15099" width="29.140625" bestFit="1" customWidth="1"/>
    <col min="15100" max="15100" width="12.5703125" customWidth="1"/>
    <col min="15102" max="15102" width="24" customWidth="1"/>
    <col min="15103" max="15103" width="22.28515625" customWidth="1"/>
    <col min="15105" max="15105" width="10.140625" bestFit="1" customWidth="1"/>
    <col min="15106" max="15106" width="12.7109375" bestFit="1" customWidth="1"/>
    <col min="15107" max="15107" width="12.140625" bestFit="1" customWidth="1"/>
    <col min="15108" max="15108" width="24.42578125" bestFit="1" customWidth="1"/>
    <col min="15353" max="15353" width="30.42578125" bestFit="1" customWidth="1"/>
    <col min="15354" max="15354" width="12.140625" customWidth="1"/>
    <col min="15355" max="15355" width="29.140625" bestFit="1" customWidth="1"/>
    <col min="15356" max="15356" width="12.5703125" customWidth="1"/>
    <col min="15358" max="15358" width="24" customWidth="1"/>
    <col min="15359" max="15359" width="22.28515625" customWidth="1"/>
    <col min="15361" max="15361" width="10.140625" bestFit="1" customWidth="1"/>
    <col min="15362" max="15362" width="12.7109375" bestFit="1" customWidth="1"/>
    <col min="15363" max="15363" width="12.140625" bestFit="1" customWidth="1"/>
    <col min="15364" max="15364" width="24.42578125" bestFit="1" customWidth="1"/>
    <col min="15609" max="15609" width="30.42578125" bestFit="1" customWidth="1"/>
    <col min="15610" max="15610" width="12.140625" customWidth="1"/>
    <col min="15611" max="15611" width="29.140625" bestFit="1" customWidth="1"/>
    <col min="15612" max="15612" width="12.5703125" customWidth="1"/>
    <col min="15614" max="15614" width="24" customWidth="1"/>
    <col min="15615" max="15615" width="22.28515625" customWidth="1"/>
    <col min="15617" max="15617" width="10.140625" bestFit="1" customWidth="1"/>
    <col min="15618" max="15618" width="12.7109375" bestFit="1" customWidth="1"/>
    <col min="15619" max="15619" width="12.140625" bestFit="1" customWidth="1"/>
    <col min="15620" max="15620" width="24.42578125" bestFit="1" customWidth="1"/>
    <col min="15865" max="15865" width="30.42578125" bestFit="1" customWidth="1"/>
    <col min="15866" max="15866" width="12.140625" customWidth="1"/>
    <col min="15867" max="15867" width="29.140625" bestFit="1" customWidth="1"/>
    <col min="15868" max="15868" width="12.5703125" customWidth="1"/>
    <col min="15870" max="15870" width="24" customWidth="1"/>
    <col min="15871" max="15871" width="22.28515625" customWidth="1"/>
    <col min="15873" max="15873" width="10.140625" bestFit="1" customWidth="1"/>
    <col min="15874" max="15874" width="12.7109375" bestFit="1" customWidth="1"/>
    <col min="15875" max="15875" width="12.140625" bestFit="1" customWidth="1"/>
    <col min="15876" max="15876" width="24.42578125" bestFit="1" customWidth="1"/>
    <col min="16121" max="16121" width="30.42578125" bestFit="1" customWidth="1"/>
    <col min="16122" max="16122" width="12.140625" customWidth="1"/>
    <col min="16123" max="16123" width="29.140625" bestFit="1" customWidth="1"/>
    <col min="16124" max="16124" width="12.5703125" customWidth="1"/>
    <col min="16126" max="16126" width="24" customWidth="1"/>
    <col min="16127" max="16127" width="22.28515625" customWidth="1"/>
    <col min="16129" max="16129" width="10.140625" bestFit="1" customWidth="1"/>
    <col min="16130" max="16130" width="12.7109375" bestFit="1" customWidth="1"/>
    <col min="16131" max="16131" width="12.140625" bestFit="1" customWidth="1"/>
    <col min="16132" max="16132" width="24.42578125" bestFit="1" customWidth="1"/>
  </cols>
  <sheetData>
    <row r="1" spans="1:26" ht="15.75" customHeight="1" thickBot="1" x14ac:dyDescent="0.3">
      <c r="B1" s="123">
        <v>42095</v>
      </c>
      <c r="C1" s="123"/>
      <c r="D1" s="7"/>
      <c r="E1" s="124" t="s">
        <v>8</v>
      </c>
      <c r="F1" s="125"/>
      <c r="G1" s="125"/>
      <c r="H1" s="126"/>
      <c r="I1" s="127"/>
      <c r="J1" s="3">
        <v>30</v>
      </c>
      <c r="K1" s="3">
        <v>30</v>
      </c>
      <c r="L1" s="3">
        <v>30</v>
      </c>
      <c r="M1" s="3">
        <v>35</v>
      </c>
      <c r="N1" s="3">
        <v>30</v>
      </c>
      <c r="O1" s="3">
        <v>25</v>
      </c>
      <c r="P1" s="3">
        <v>25</v>
      </c>
      <c r="Q1" s="3">
        <v>30</v>
      </c>
      <c r="R1" s="3">
        <v>35</v>
      </c>
      <c r="S1" s="3">
        <v>35</v>
      </c>
      <c r="T1" s="3">
        <v>30</v>
      </c>
      <c r="U1" s="3">
        <v>35</v>
      </c>
      <c r="V1" s="3">
        <v>35</v>
      </c>
      <c r="W1" s="3">
        <v>30</v>
      </c>
      <c r="X1" s="3">
        <v>30</v>
      </c>
      <c r="Y1" s="129" t="s">
        <v>25</v>
      </c>
      <c r="Z1" s="25">
        <f ca="1">TODAY()</f>
        <v>45273</v>
      </c>
    </row>
    <row r="2" spans="1:26" ht="30" customHeight="1" x14ac:dyDescent="0.25">
      <c r="B2" s="131" t="s">
        <v>1</v>
      </c>
      <c r="C2" s="132"/>
      <c r="E2" s="35" t="s">
        <v>12</v>
      </c>
      <c r="F2" s="36" t="s">
        <v>9</v>
      </c>
      <c r="G2" s="36" t="s">
        <v>10</v>
      </c>
      <c r="H2" s="4" t="s">
        <v>11</v>
      </c>
      <c r="I2" s="128"/>
      <c r="J2" s="23" t="s">
        <v>22</v>
      </c>
      <c r="K2" s="23" t="s">
        <v>5</v>
      </c>
      <c r="L2" s="23" t="s">
        <v>13</v>
      </c>
      <c r="M2" s="23" t="s">
        <v>14</v>
      </c>
      <c r="N2" s="23" t="s">
        <v>15</v>
      </c>
      <c r="O2" s="23" t="s">
        <v>56</v>
      </c>
      <c r="P2" s="23" t="s">
        <v>55</v>
      </c>
      <c r="Q2" s="23" t="s">
        <v>23</v>
      </c>
      <c r="R2" s="23" t="s">
        <v>57</v>
      </c>
      <c r="S2" s="23" t="s">
        <v>26</v>
      </c>
      <c r="T2" s="23" t="s">
        <v>19</v>
      </c>
      <c r="U2" s="23" t="s">
        <v>20</v>
      </c>
      <c r="V2" s="23" t="s">
        <v>21</v>
      </c>
      <c r="W2" s="23" t="s">
        <v>36</v>
      </c>
      <c r="X2" s="23" t="s">
        <v>41</v>
      </c>
      <c r="Y2" s="130"/>
    </row>
    <row r="3" spans="1:26" ht="15.75" thickBot="1" x14ac:dyDescent="0.3">
      <c r="B3" s="49" t="s">
        <v>0</v>
      </c>
      <c r="C3" s="50" t="s">
        <v>2</v>
      </c>
      <c r="E3" s="32">
        <f>B1</f>
        <v>42095</v>
      </c>
      <c r="F3" s="71"/>
      <c r="G3" s="71"/>
      <c r="H3" s="72"/>
      <c r="I3" s="31">
        <f>E3</f>
        <v>42095</v>
      </c>
      <c r="J3" s="37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9"/>
      <c r="Y3" s="61">
        <f>SUM(J3:X3)</f>
        <v>0</v>
      </c>
    </row>
    <row r="4" spans="1:26" ht="15.75" thickBot="1" x14ac:dyDescent="0.3">
      <c r="B4" s="14" t="s">
        <v>3</v>
      </c>
      <c r="C4" s="15">
        <f>F34</f>
        <v>36690</v>
      </c>
      <c r="E4" s="32">
        <f>E3+1</f>
        <v>42096</v>
      </c>
      <c r="F4" s="71">
        <f>5320</f>
        <v>5320</v>
      </c>
      <c r="G4" s="71">
        <f>140</f>
        <v>140</v>
      </c>
      <c r="H4" s="72" t="s">
        <v>73</v>
      </c>
      <c r="I4" s="31">
        <f t="shared" ref="I4:I33" si="0">E4</f>
        <v>42096</v>
      </c>
      <c r="J4" s="40">
        <v>4</v>
      </c>
      <c r="K4" s="41">
        <v>5</v>
      </c>
      <c r="L4" s="41">
        <v>8</v>
      </c>
      <c r="M4" s="41">
        <v>38</v>
      </c>
      <c r="N4" s="41">
        <v>18</v>
      </c>
      <c r="O4" s="41">
        <v>10</v>
      </c>
      <c r="P4" s="41">
        <v>8</v>
      </c>
      <c r="Q4" s="41">
        <v>27</v>
      </c>
      <c r="R4" s="41">
        <v>3</v>
      </c>
      <c r="S4" s="41">
        <v>9</v>
      </c>
      <c r="T4" s="41">
        <v>9</v>
      </c>
      <c r="U4" s="41">
        <v>8</v>
      </c>
      <c r="V4" s="41">
        <v>17</v>
      </c>
      <c r="W4" s="41">
        <v>22</v>
      </c>
      <c r="X4" s="42">
        <v>6</v>
      </c>
      <c r="Y4" s="62">
        <f>SUM(J4:X4)</f>
        <v>192</v>
      </c>
    </row>
    <row r="5" spans="1:26" ht="15" customHeight="1" thickBot="1" x14ac:dyDescent="0.3">
      <c r="A5" s="51"/>
      <c r="E5" s="32">
        <f t="shared" ref="E5:E33" si="1">E4+1</f>
        <v>42097</v>
      </c>
      <c r="F5" s="71"/>
      <c r="G5" s="71"/>
      <c r="H5" s="119"/>
      <c r="I5" s="31">
        <f t="shared" si="0"/>
        <v>42097</v>
      </c>
      <c r="J5" s="40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2"/>
      <c r="Y5" s="62">
        <f t="shared" ref="Y5:Y33" si="2">SUM(J5:X5)</f>
        <v>0</v>
      </c>
    </row>
    <row r="6" spans="1:26" ht="15" customHeight="1" x14ac:dyDescent="0.25">
      <c r="A6" s="139" t="s">
        <v>42</v>
      </c>
      <c r="B6" s="76" t="s">
        <v>7</v>
      </c>
      <c r="C6" s="11">
        <v>4000</v>
      </c>
      <c r="E6" s="32">
        <f t="shared" si="1"/>
        <v>42098</v>
      </c>
      <c r="F6" s="71"/>
      <c r="G6" s="71">
        <f>170</f>
        <v>170</v>
      </c>
      <c r="H6" s="72" t="s">
        <v>98</v>
      </c>
      <c r="I6" s="31">
        <f t="shared" si="0"/>
        <v>42098</v>
      </c>
      <c r="J6" s="40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2"/>
      <c r="Y6" s="62">
        <f t="shared" si="2"/>
        <v>0</v>
      </c>
    </row>
    <row r="7" spans="1:26" x14ac:dyDescent="0.25">
      <c r="A7" s="140"/>
      <c r="B7" s="77" t="s">
        <v>43</v>
      </c>
      <c r="C7" s="12">
        <v>40</v>
      </c>
      <c r="E7" s="32">
        <f t="shared" si="1"/>
        <v>42099</v>
      </c>
      <c r="F7" s="71"/>
      <c r="G7" s="71"/>
      <c r="H7" s="72"/>
      <c r="I7" s="31">
        <f t="shared" si="0"/>
        <v>42099</v>
      </c>
      <c r="J7" s="40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2"/>
      <c r="Y7" s="62">
        <f t="shared" si="2"/>
        <v>0</v>
      </c>
    </row>
    <row r="8" spans="1:26" x14ac:dyDescent="0.25">
      <c r="A8" s="140"/>
      <c r="B8" s="77" t="s">
        <v>4</v>
      </c>
      <c r="C8" s="13">
        <f>(INDEX('[1]Кредит Сатурн'!$C:$C,MATCH(B1,'[1]Кредит Сатурн'!$A:$A,0)))</f>
        <v>2064</v>
      </c>
      <c r="E8" s="32">
        <f t="shared" si="1"/>
        <v>42100</v>
      </c>
      <c r="F8" s="71"/>
      <c r="G8" s="71"/>
      <c r="H8" s="72"/>
      <c r="I8" s="31">
        <f t="shared" si="0"/>
        <v>42100</v>
      </c>
      <c r="J8" s="40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2"/>
      <c r="Y8" s="62">
        <f t="shared" si="2"/>
        <v>0</v>
      </c>
    </row>
    <row r="9" spans="1:26" x14ac:dyDescent="0.25">
      <c r="A9" s="140"/>
      <c r="B9" s="77" t="s">
        <v>27</v>
      </c>
      <c r="C9" s="12">
        <f>'[2]Расход ингредиентов'!$D$95</f>
        <v>6600</v>
      </c>
      <c r="E9" s="32">
        <f t="shared" si="1"/>
        <v>42101</v>
      </c>
      <c r="F9" s="71"/>
      <c r="G9" s="71"/>
      <c r="H9" s="72"/>
      <c r="I9" s="31">
        <f t="shared" si="0"/>
        <v>42101</v>
      </c>
      <c r="J9" s="40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2"/>
      <c r="Y9" s="62">
        <f t="shared" si="2"/>
        <v>0</v>
      </c>
    </row>
    <row r="10" spans="1:26" x14ac:dyDescent="0.25">
      <c r="A10" s="140"/>
      <c r="B10" s="77" t="s">
        <v>44</v>
      </c>
      <c r="C10" s="12">
        <f>G16</f>
        <v>483</v>
      </c>
      <c r="E10" s="32">
        <f t="shared" si="1"/>
        <v>42102</v>
      </c>
      <c r="F10" s="71">
        <v>6490</v>
      </c>
      <c r="G10" s="71">
        <v>490</v>
      </c>
      <c r="H10" s="72" t="s">
        <v>73</v>
      </c>
      <c r="I10" s="31">
        <f t="shared" si="0"/>
        <v>42102</v>
      </c>
      <c r="J10" s="40">
        <v>7</v>
      </c>
      <c r="K10" s="41">
        <v>6</v>
      </c>
      <c r="L10" s="41">
        <v>6</v>
      </c>
      <c r="M10" s="41">
        <v>38</v>
      </c>
      <c r="N10" s="41">
        <v>24</v>
      </c>
      <c r="O10" s="41">
        <v>19</v>
      </c>
      <c r="P10" s="41">
        <v>5</v>
      </c>
      <c r="Q10" s="41">
        <v>25</v>
      </c>
      <c r="R10" s="41">
        <v>11</v>
      </c>
      <c r="S10" s="41">
        <v>21</v>
      </c>
      <c r="T10" s="41">
        <v>20</v>
      </c>
      <c r="U10" s="41">
        <v>7</v>
      </c>
      <c r="V10" s="41">
        <v>10</v>
      </c>
      <c r="W10" s="41">
        <v>8</v>
      </c>
      <c r="X10" s="42">
        <v>5</v>
      </c>
      <c r="Y10" s="62">
        <f t="shared" si="2"/>
        <v>212</v>
      </c>
    </row>
    <row r="11" spans="1:26" x14ac:dyDescent="0.25">
      <c r="A11" s="140"/>
      <c r="B11" s="77" t="s">
        <v>38</v>
      </c>
      <c r="C11" s="12">
        <f>G4+G10+G17+G24+G31</f>
        <v>1700</v>
      </c>
      <c r="E11" s="32">
        <f t="shared" si="1"/>
        <v>42103</v>
      </c>
      <c r="F11" s="71"/>
      <c r="G11" s="71">
        <v>2800</v>
      </c>
      <c r="H11" s="72" t="s">
        <v>79</v>
      </c>
      <c r="I11" s="31">
        <f t="shared" si="0"/>
        <v>42103</v>
      </c>
      <c r="J11" s="40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2"/>
      <c r="Y11" s="62">
        <f t="shared" si="2"/>
        <v>0</v>
      </c>
    </row>
    <row r="12" spans="1:26" x14ac:dyDescent="0.25">
      <c r="A12" s="140"/>
      <c r="B12" s="77" t="s">
        <v>39</v>
      </c>
      <c r="C12" s="12">
        <v>0</v>
      </c>
      <c r="E12" s="32">
        <f t="shared" si="1"/>
        <v>42104</v>
      </c>
      <c r="F12" s="71"/>
      <c r="G12" s="71">
        <v>4000</v>
      </c>
      <c r="H12" s="72" t="s">
        <v>81</v>
      </c>
      <c r="I12" s="31">
        <f t="shared" si="0"/>
        <v>42104</v>
      </c>
      <c r="J12" s="40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2"/>
      <c r="Y12" s="62">
        <f t="shared" si="2"/>
        <v>0</v>
      </c>
    </row>
    <row r="13" spans="1:26" x14ac:dyDescent="0.25">
      <c r="A13" s="140"/>
      <c r="B13" s="77" t="s">
        <v>31</v>
      </c>
      <c r="C13" s="18">
        <v>3300</v>
      </c>
      <c r="E13" s="32">
        <f t="shared" si="1"/>
        <v>42105</v>
      </c>
      <c r="F13" s="71"/>
      <c r="G13" s="71">
        <f>1100/4</f>
        <v>275</v>
      </c>
      <c r="H13" s="72" t="s">
        <v>97</v>
      </c>
      <c r="I13" s="31">
        <f t="shared" si="0"/>
        <v>42105</v>
      </c>
      <c r="J13" s="40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2"/>
      <c r="Y13" s="62">
        <f t="shared" si="2"/>
        <v>0</v>
      </c>
    </row>
    <row r="14" spans="1:26" x14ac:dyDescent="0.25">
      <c r="A14" s="140"/>
      <c r="B14" s="77" t="s">
        <v>46</v>
      </c>
      <c r="C14" s="18">
        <f>CEILING(1220+625/3,10)</f>
        <v>1430</v>
      </c>
      <c r="E14" s="32">
        <f t="shared" si="1"/>
        <v>42106</v>
      </c>
      <c r="F14" s="71"/>
      <c r="G14" s="71"/>
      <c r="H14" s="72"/>
      <c r="I14" s="31">
        <f t="shared" si="0"/>
        <v>42106</v>
      </c>
      <c r="J14" s="40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2"/>
      <c r="Y14" s="62">
        <f t="shared" si="2"/>
        <v>0</v>
      </c>
    </row>
    <row r="15" spans="1:26" x14ac:dyDescent="0.25">
      <c r="A15" s="140"/>
      <c r="B15" s="77" t="s">
        <v>45</v>
      </c>
      <c r="C15" s="12">
        <f>G6+G13+G27</f>
        <v>805</v>
      </c>
      <c r="E15" s="32">
        <f t="shared" si="1"/>
        <v>42107</v>
      </c>
      <c r="F15" s="71"/>
      <c r="G15" s="71"/>
      <c r="H15" s="72"/>
      <c r="I15" s="31">
        <f t="shared" si="0"/>
        <v>42107</v>
      </c>
      <c r="J15" s="40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62">
        <f t="shared" si="2"/>
        <v>0</v>
      </c>
    </row>
    <row r="16" spans="1:26" ht="15.75" thickBot="1" x14ac:dyDescent="0.3">
      <c r="A16" s="141"/>
      <c r="B16" s="78" t="s">
        <v>47</v>
      </c>
      <c r="C16" s="53">
        <f>SUM(C6:C15)</f>
        <v>20422</v>
      </c>
      <c r="E16" s="32">
        <f t="shared" si="1"/>
        <v>42108</v>
      </c>
      <c r="F16" s="71"/>
      <c r="G16" s="71">
        <v>483</v>
      </c>
      <c r="H16" s="72" t="s">
        <v>99</v>
      </c>
      <c r="I16" s="31">
        <f t="shared" si="0"/>
        <v>42108</v>
      </c>
      <c r="J16" s="40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2"/>
      <c r="Y16" s="62">
        <f t="shared" si="2"/>
        <v>0</v>
      </c>
    </row>
    <row r="17" spans="1:25" ht="15.75" thickBot="1" x14ac:dyDescent="0.3">
      <c r="E17" s="32">
        <f t="shared" si="1"/>
        <v>42109</v>
      </c>
      <c r="F17" s="71">
        <v>6610</v>
      </c>
      <c r="G17" s="71">
        <v>190</v>
      </c>
      <c r="H17" s="72" t="s">
        <v>73</v>
      </c>
      <c r="I17" s="31">
        <f t="shared" si="0"/>
        <v>42109</v>
      </c>
      <c r="J17" s="40">
        <v>13</v>
      </c>
      <c r="K17" s="41">
        <v>5</v>
      </c>
      <c r="L17" s="41">
        <v>5</v>
      </c>
      <c r="M17" s="41">
        <v>33</v>
      </c>
      <c r="N17" s="41">
        <v>12</v>
      </c>
      <c r="O17" s="41">
        <v>13</v>
      </c>
      <c r="P17" s="41">
        <v>9</v>
      </c>
      <c r="Q17" s="41">
        <v>46</v>
      </c>
      <c r="R17" s="41">
        <v>9</v>
      </c>
      <c r="S17" s="41">
        <v>5</v>
      </c>
      <c r="T17" s="41">
        <v>13</v>
      </c>
      <c r="U17" s="41">
        <v>5</v>
      </c>
      <c r="V17" s="41">
        <v>18</v>
      </c>
      <c r="W17" s="41">
        <v>10</v>
      </c>
      <c r="X17" s="42">
        <v>7</v>
      </c>
      <c r="Y17" s="62">
        <f t="shared" si="2"/>
        <v>203</v>
      </c>
    </row>
    <row r="18" spans="1:25" ht="15.75" thickBot="1" x14ac:dyDescent="0.3">
      <c r="B18" s="16" t="s">
        <v>32</v>
      </c>
      <c r="C18" s="17">
        <f>C4-C16</f>
        <v>16268</v>
      </c>
      <c r="E18" s="32">
        <f t="shared" si="1"/>
        <v>42110</v>
      </c>
      <c r="F18" s="71"/>
      <c r="G18" s="71"/>
      <c r="H18" s="72"/>
      <c r="I18" s="31">
        <f t="shared" si="0"/>
        <v>42110</v>
      </c>
      <c r="J18" s="40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2"/>
      <c r="Y18" s="62">
        <f t="shared" si="2"/>
        <v>0</v>
      </c>
    </row>
    <row r="19" spans="1:25" ht="15.75" thickBot="1" x14ac:dyDescent="0.3">
      <c r="E19" s="32">
        <f t="shared" si="1"/>
        <v>42111</v>
      </c>
      <c r="F19" s="71"/>
      <c r="G19" s="71"/>
      <c r="H19" s="72"/>
      <c r="I19" s="31">
        <f t="shared" si="0"/>
        <v>42111</v>
      </c>
      <c r="J19" s="40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2"/>
      <c r="Y19" s="62">
        <f t="shared" si="2"/>
        <v>0</v>
      </c>
    </row>
    <row r="20" spans="1:25" ht="15.75" thickBot="1" x14ac:dyDescent="0.3">
      <c r="B20" s="16" t="s">
        <v>48</v>
      </c>
      <c r="C20" s="17">
        <f>CEILING(C6+C8,100)</f>
        <v>6100</v>
      </c>
      <c r="E20" s="32">
        <f t="shared" si="1"/>
        <v>42112</v>
      </c>
      <c r="F20" s="71"/>
      <c r="G20" s="71"/>
      <c r="H20" s="72"/>
      <c r="I20" s="31">
        <f t="shared" si="0"/>
        <v>42112</v>
      </c>
      <c r="J20" s="40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2"/>
      <c r="Y20" s="62">
        <f t="shared" si="2"/>
        <v>0</v>
      </c>
    </row>
    <row r="21" spans="1:25" ht="15.75" thickBot="1" x14ac:dyDescent="0.3">
      <c r="E21" s="32">
        <f>E20+1</f>
        <v>42113</v>
      </c>
      <c r="F21" s="71"/>
      <c r="G21" s="71"/>
      <c r="H21" s="72"/>
      <c r="I21" s="31">
        <f t="shared" si="0"/>
        <v>42113</v>
      </c>
      <c r="J21" s="40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2"/>
      <c r="Y21" s="62">
        <f t="shared" si="2"/>
        <v>0</v>
      </c>
    </row>
    <row r="22" spans="1:25" ht="15.75" thickBot="1" x14ac:dyDescent="0.3">
      <c r="B22" s="52" t="s">
        <v>53</v>
      </c>
      <c r="C22" s="63">
        <f>C18</f>
        <v>16268</v>
      </c>
      <c r="E22" s="32">
        <f t="shared" si="1"/>
        <v>42114</v>
      </c>
      <c r="F22" s="71"/>
      <c r="G22" s="71"/>
      <c r="H22" s="72"/>
      <c r="I22" s="31">
        <f t="shared" si="0"/>
        <v>42114</v>
      </c>
      <c r="J22" s="40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2"/>
      <c r="Y22" s="62">
        <f t="shared" si="2"/>
        <v>0</v>
      </c>
    </row>
    <row r="23" spans="1:25" ht="15" customHeight="1" x14ac:dyDescent="0.25">
      <c r="A23" s="133" t="s">
        <v>49</v>
      </c>
      <c r="B23" s="58" t="s">
        <v>50</v>
      </c>
      <c r="C23" s="59">
        <v>0</v>
      </c>
      <c r="E23" s="32">
        <f t="shared" si="1"/>
        <v>42115</v>
      </c>
      <c r="F23" s="71"/>
      <c r="G23" s="71"/>
      <c r="H23" s="72"/>
      <c r="I23" s="31">
        <f t="shared" si="0"/>
        <v>42115</v>
      </c>
      <c r="J23" s="40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2"/>
      <c r="Y23" s="62">
        <f t="shared" si="2"/>
        <v>0</v>
      </c>
    </row>
    <row r="24" spans="1:25" x14ac:dyDescent="0.25">
      <c r="A24" s="134"/>
      <c r="B24" s="54" t="s">
        <v>40</v>
      </c>
      <c r="C24" s="55">
        <v>0</v>
      </c>
      <c r="E24" s="32">
        <f t="shared" si="1"/>
        <v>42116</v>
      </c>
      <c r="F24" s="71">
        <f>7590</f>
        <v>7590</v>
      </c>
      <c r="G24" s="71">
        <f>520</f>
        <v>520</v>
      </c>
      <c r="H24" s="72" t="s">
        <v>73</v>
      </c>
      <c r="I24" s="31">
        <f t="shared" si="0"/>
        <v>42116</v>
      </c>
      <c r="J24" s="40">
        <v>15</v>
      </c>
      <c r="K24" s="41">
        <v>10</v>
      </c>
      <c r="L24" s="41">
        <v>4</v>
      </c>
      <c r="M24" s="41">
        <v>40</v>
      </c>
      <c r="N24" s="41">
        <v>23</v>
      </c>
      <c r="O24" s="41">
        <v>27</v>
      </c>
      <c r="P24" s="41">
        <v>11</v>
      </c>
      <c r="Q24" s="41">
        <v>23</v>
      </c>
      <c r="R24" s="41">
        <v>14</v>
      </c>
      <c r="S24" s="41">
        <v>5</v>
      </c>
      <c r="T24" s="41">
        <v>10</v>
      </c>
      <c r="U24" s="41">
        <v>36</v>
      </c>
      <c r="V24" s="41">
        <v>20</v>
      </c>
      <c r="W24" s="41">
        <v>8</v>
      </c>
      <c r="X24" s="42">
        <v>6</v>
      </c>
      <c r="Y24" s="62">
        <f t="shared" si="2"/>
        <v>252</v>
      </c>
    </row>
    <row r="25" spans="1:25" x14ac:dyDescent="0.25">
      <c r="A25" s="134"/>
      <c r="B25" s="54" t="s">
        <v>51</v>
      </c>
      <c r="C25" s="55">
        <v>0</v>
      </c>
      <c r="E25" s="32">
        <f t="shared" si="1"/>
        <v>42117</v>
      </c>
      <c r="F25" s="71"/>
      <c r="G25" s="71"/>
      <c r="H25" s="119"/>
      <c r="I25" s="31">
        <f t="shared" si="0"/>
        <v>42117</v>
      </c>
      <c r="J25" s="40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2"/>
      <c r="Y25" s="62">
        <f t="shared" si="2"/>
        <v>0</v>
      </c>
    </row>
    <row r="26" spans="1:25" ht="15.75" thickBot="1" x14ac:dyDescent="0.3">
      <c r="A26" s="134"/>
      <c r="B26" s="57" t="s">
        <v>52</v>
      </c>
      <c r="C26" s="56">
        <v>0</v>
      </c>
      <c r="E26" s="32">
        <f t="shared" si="1"/>
        <v>42118</v>
      </c>
      <c r="F26" s="71"/>
      <c r="G26" s="71"/>
      <c r="H26" s="72"/>
      <c r="I26" s="31">
        <f t="shared" si="0"/>
        <v>42118</v>
      </c>
      <c r="J26" s="40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2"/>
      <c r="Y26" s="62">
        <f t="shared" si="2"/>
        <v>0</v>
      </c>
    </row>
    <row r="27" spans="1:25" ht="15.75" thickBot="1" x14ac:dyDescent="0.3">
      <c r="A27" s="134"/>
      <c r="B27" s="52" t="s">
        <v>54</v>
      </c>
      <c r="C27" s="60">
        <f>C22-SUM(C23:C26)</f>
        <v>16268</v>
      </c>
      <c r="E27" s="32">
        <f t="shared" si="1"/>
        <v>42119</v>
      </c>
      <c r="F27" s="71"/>
      <c r="G27" s="71">
        <v>360</v>
      </c>
      <c r="H27" s="72" t="s">
        <v>100</v>
      </c>
      <c r="I27" s="31">
        <f t="shared" si="0"/>
        <v>42119</v>
      </c>
      <c r="J27" s="40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2"/>
      <c r="Y27" s="62">
        <f t="shared" si="2"/>
        <v>0</v>
      </c>
    </row>
    <row r="28" spans="1:25" ht="15.75" thickBot="1" x14ac:dyDescent="0.3">
      <c r="A28" s="135"/>
      <c r="B28" s="33"/>
      <c r="C28" s="34"/>
      <c r="E28" s="32">
        <f t="shared" si="1"/>
        <v>42120</v>
      </c>
      <c r="F28" s="71"/>
      <c r="G28" s="29"/>
      <c r="H28" s="72"/>
      <c r="I28" s="31">
        <f t="shared" si="0"/>
        <v>42120</v>
      </c>
      <c r="J28" s="40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2"/>
      <c r="Y28" s="62">
        <f t="shared" si="2"/>
        <v>0</v>
      </c>
    </row>
    <row r="29" spans="1:25" ht="15.75" thickBot="1" x14ac:dyDescent="0.3">
      <c r="B29" s="16" t="s">
        <v>28</v>
      </c>
      <c r="C29" s="17">
        <f>'4'!G35+'3'!C29</f>
        <v>109237</v>
      </c>
      <c r="E29" s="32">
        <f t="shared" si="1"/>
        <v>42121</v>
      </c>
      <c r="F29" s="71"/>
      <c r="G29" s="71"/>
      <c r="H29" s="72"/>
      <c r="I29" s="31">
        <f t="shared" si="0"/>
        <v>42121</v>
      </c>
      <c r="J29" s="40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2"/>
      <c r="Y29" s="62">
        <f t="shared" si="2"/>
        <v>0</v>
      </c>
    </row>
    <row r="30" spans="1:25" x14ac:dyDescent="0.25">
      <c r="B30" s="46"/>
      <c r="C30" s="47"/>
      <c r="E30" s="32">
        <f t="shared" si="1"/>
        <v>42122</v>
      </c>
      <c r="F30" s="29"/>
      <c r="G30" s="29"/>
      <c r="H30" s="72"/>
      <c r="I30" s="31">
        <f t="shared" si="0"/>
        <v>42122</v>
      </c>
      <c r="J30" s="40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2"/>
      <c r="Y30" s="62">
        <f t="shared" si="2"/>
        <v>0</v>
      </c>
    </row>
    <row r="31" spans="1:25" x14ac:dyDescent="0.25">
      <c r="B31" s="43"/>
      <c r="C31" s="48"/>
      <c r="E31" s="32">
        <f t="shared" si="1"/>
        <v>42123</v>
      </c>
      <c r="F31" s="29">
        <f>6080</f>
        <v>6080</v>
      </c>
      <c r="G31" s="29">
        <f>360</f>
        <v>360</v>
      </c>
      <c r="H31" s="72" t="s">
        <v>73</v>
      </c>
      <c r="I31" s="31">
        <f t="shared" si="0"/>
        <v>42123</v>
      </c>
      <c r="J31" s="40">
        <v>15</v>
      </c>
      <c r="K31" s="41">
        <v>5</v>
      </c>
      <c r="L31" s="41">
        <v>5</v>
      </c>
      <c r="M31" s="41">
        <v>34</v>
      </c>
      <c r="N31" s="41">
        <v>19</v>
      </c>
      <c r="O31" s="41">
        <v>20</v>
      </c>
      <c r="P31" s="41">
        <v>7</v>
      </c>
      <c r="Q31" s="41">
        <v>17</v>
      </c>
      <c r="R31" s="41">
        <v>2</v>
      </c>
      <c r="S31" s="41">
        <v>9</v>
      </c>
      <c r="T31" s="41">
        <v>11</v>
      </c>
      <c r="U31" s="41">
        <v>10</v>
      </c>
      <c r="V31" s="41">
        <v>12</v>
      </c>
      <c r="W31" s="41">
        <v>41</v>
      </c>
      <c r="X31" s="42">
        <v>4</v>
      </c>
      <c r="Y31" s="62">
        <f t="shared" si="2"/>
        <v>211</v>
      </c>
    </row>
    <row r="32" spans="1:25" ht="15.75" thickBot="1" x14ac:dyDescent="0.3">
      <c r="B32" s="43"/>
      <c r="C32" s="48"/>
      <c r="E32" s="32">
        <f t="shared" si="1"/>
        <v>42124</v>
      </c>
      <c r="F32" s="29">
        <v>4600</v>
      </c>
      <c r="G32" s="29"/>
      <c r="H32" s="119" t="s">
        <v>102</v>
      </c>
      <c r="I32" s="31">
        <f t="shared" si="0"/>
        <v>42124</v>
      </c>
      <c r="J32" s="40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2"/>
      <c r="Y32" s="62">
        <f t="shared" si="2"/>
        <v>0</v>
      </c>
    </row>
    <row r="33" spans="2:25" ht="15.75" hidden="1" thickBot="1" x14ac:dyDescent="0.3">
      <c r="B33" s="33"/>
      <c r="C33" s="34"/>
      <c r="E33" s="32">
        <f t="shared" si="1"/>
        <v>42125</v>
      </c>
      <c r="F33" s="29"/>
      <c r="G33" s="29"/>
      <c r="H33" s="72"/>
      <c r="I33" s="31">
        <f t="shared" si="0"/>
        <v>42125</v>
      </c>
      <c r="J33" s="40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2"/>
      <c r="Y33" s="62">
        <f t="shared" si="2"/>
        <v>0</v>
      </c>
    </row>
    <row r="34" spans="2:25" ht="15.75" thickBot="1" x14ac:dyDescent="0.3">
      <c r="B34" s="43"/>
      <c r="C34" s="48"/>
      <c r="E34" s="19" t="s">
        <v>6</v>
      </c>
      <c r="F34" s="6">
        <f>SUM(F3:F33)</f>
        <v>36690</v>
      </c>
      <c r="G34" s="6">
        <f>SUM(G3:G33)</f>
        <v>9788</v>
      </c>
      <c r="H34" s="2"/>
      <c r="I34" s="22" t="s">
        <v>33</v>
      </c>
      <c r="J34" s="24">
        <f t="shared" ref="J34:Y34" si="3">SUM(J3:J33)</f>
        <v>54</v>
      </c>
      <c r="K34" s="24">
        <f t="shared" si="3"/>
        <v>31</v>
      </c>
      <c r="L34" s="24">
        <f t="shared" si="3"/>
        <v>28</v>
      </c>
      <c r="M34" s="24">
        <f t="shared" si="3"/>
        <v>183</v>
      </c>
      <c r="N34" s="24">
        <f t="shared" si="3"/>
        <v>96</v>
      </c>
      <c r="O34" s="24">
        <f t="shared" si="3"/>
        <v>89</v>
      </c>
      <c r="P34" s="24">
        <f t="shared" si="3"/>
        <v>40</v>
      </c>
      <c r="Q34" s="24">
        <f t="shared" si="3"/>
        <v>138</v>
      </c>
      <c r="R34" s="24">
        <f t="shared" si="3"/>
        <v>39</v>
      </c>
      <c r="S34" s="24">
        <f t="shared" si="3"/>
        <v>49</v>
      </c>
      <c r="T34" s="24">
        <f t="shared" si="3"/>
        <v>63</v>
      </c>
      <c r="U34" s="24">
        <f t="shared" si="3"/>
        <v>66</v>
      </c>
      <c r="V34" s="24">
        <f t="shared" si="3"/>
        <v>77</v>
      </c>
      <c r="W34" s="24">
        <f t="shared" si="3"/>
        <v>89</v>
      </c>
      <c r="X34" s="24">
        <f t="shared" si="3"/>
        <v>28</v>
      </c>
      <c r="Y34" s="24">
        <f t="shared" si="3"/>
        <v>1070</v>
      </c>
    </row>
    <row r="35" spans="2:25" ht="15.75" thickBot="1" x14ac:dyDescent="0.3">
      <c r="B35" s="43"/>
      <c r="C35" s="48"/>
      <c r="E35" s="136" t="s">
        <v>37</v>
      </c>
      <c r="F35" s="137"/>
      <c r="G35" s="1">
        <f>F34-G34</f>
        <v>26902</v>
      </c>
      <c r="I35"/>
    </row>
    <row r="36" spans="2:25" ht="24" x14ac:dyDescent="0.25">
      <c r="B36" s="43"/>
      <c r="C36" s="48"/>
      <c r="J36" s="8" t="s">
        <v>22</v>
      </c>
      <c r="K36" s="8" t="s">
        <v>5</v>
      </c>
      <c r="L36" s="8" t="s">
        <v>13</v>
      </c>
      <c r="M36" s="8" t="s">
        <v>14</v>
      </c>
      <c r="N36" s="8" t="s">
        <v>15</v>
      </c>
      <c r="O36" s="8" t="s">
        <v>16</v>
      </c>
      <c r="P36" s="8" t="s">
        <v>17</v>
      </c>
      <c r="Q36" s="8" t="s">
        <v>23</v>
      </c>
      <c r="R36" s="8" t="s">
        <v>24</v>
      </c>
      <c r="S36" s="8" t="s">
        <v>26</v>
      </c>
      <c r="T36" s="8" t="s">
        <v>19</v>
      </c>
      <c r="U36" s="8" t="s">
        <v>20</v>
      </c>
      <c r="V36" s="8" t="s">
        <v>21</v>
      </c>
      <c r="W36" s="8" t="s">
        <v>36</v>
      </c>
      <c r="X36" s="8" t="s">
        <v>18</v>
      </c>
    </row>
    <row r="37" spans="2:25" ht="15.75" thickBot="1" x14ac:dyDescent="0.3">
      <c r="B37" s="43"/>
      <c r="C37" s="48"/>
      <c r="J37" s="9">
        <f>J34</f>
        <v>54</v>
      </c>
      <c r="K37" s="9">
        <f t="shared" ref="K37:X37" si="4">K34</f>
        <v>31</v>
      </c>
      <c r="L37" s="9">
        <f t="shared" si="4"/>
        <v>28</v>
      </c>
      <c r="M37" s="9">
        <f t="shared" si="4"/>
        <v>183</v>
      </c>
      <c r="N37" s="9">
        <f t="shared" si="4"/>
        <v>96</v>
      </c>
      <c r="O37" s="9">
        <f t="shared" si="4"/>
        <v>89</v>
      </c>
      <c r="P37" s="9">
        <f t="shared" si="4"/>
        <v>40</v>
      </c>
      <c r="Q37" s="9">
        <f t="shared" si="4"/>
        <v>138</v>
      </c>
      <c r="R37" s="9">
        <f t="shared" si="4"/>
        <v>39</v>
      </c>
      <c r="S37" s="9">
        <f t="shared" si="4"/>
        <v>49</v>
      </c>
      <c r="T37" s="9">
        <f t="shared" si="4"/>
        <v>63</v>
      </c>
      <c r="U37" s="9">
        <f t="shared" si="4"/>
        <v>66</v>
      </c>
      <c r="V37" s="9">
        <f t="shared" si="4"/>
        <v>77</v>
      </c>
      <c r="W37" s="9">
        <f t="shared" si="4"/>
        <v>89</v>
      </c>
      <c r="X37" s="9">
        <f t="shared" si="4"/>
        <v>28</v>
      </c>
    </row>
    <row r="38" spans="2:25" x14ac:dyDescent="0.25">
      <c r="B38" s="45"/>
      <c r="C38" s="45"/>
      <c r="I38" s="21"/>
      <c r="J38" s="10">
        <f>J34*'[3]Себестоимость '!D17</f>
        <v>502.65000000000003</v>
      </c>
      <c r="K38" s="10">
        <f>K34*'[3]Себестоимость '!E17</f>
        <v>257.09333333333331</v>
      </c>
      <c r="L38" s="10">
        <f>L34*'[3]Себестоимость '!F17</f>
        <v>248.59333333333336</v>
      </c>
      <c r="M38" s="10">
        <f>M34*'[3]Себестоимость '!G17</f>
        <v>1757.4099999999996</v>
      </c>
      <c r="N38" s="10">
        <f>N34*'[3]Себестоимость '!H17</f>
        <v>874.78399999999988</v>
      </c>
      <c r="O38" s="10">
        <f>O34*'[3]Себестоимость '!I17</f>
        <v>322.47666666666669</v>
      </c>
      <c r="P38" s="10" t="e">
        <f>P34*'[3]Себестоимость '!J17</f>
        <v>#REF!</v>
      </c>
      <c r="Q38" s="10">
        <f>Q34*'[3]Себестоимость '!K17</f>
        <v>444.35999999999996</v>
      </c>
      <c r="R38" s="10">
        <f>R34*'[3]Себестоимость '!L17</f>
        <v>176.67000000000002</v>
      </c>
      <c r="S38" s="10">
        <f>S34*'[3]Себестоимость '!M17</f>
        <v>167.923</v>
      </c>
      <c r="T38" s="10">
        <f>T34*'[3]Себестоимость '!N17</f>
        <v>233.41499999999999</v>
      </c>
      <c r="U38" s="10">
        <f>U34*'[3]Себестоимость '!O17</f>
        <v>337.59000000000003</v>
      </c>
      <c r="V38" s="10">
        <f>V34*'[3]Себестоимость '!P17</f>
        <v>341.10999999999996</v>
      </c>
      <c r="W38" s="10">
        <f>W34*'[3]Себестоимость '!Q17</f>
        <v>432.98499999999996</v>
      </c>
      <c r="X38" s="10">
        <f>X34*'[3]Себестоимость '!R17</f>
        <v>132.29999999999998</v>
      </c>
      <c r="Y38" s="73" t="s">
        <v>30</v>
      </c>
    </row>
    <row r="39" spans="2:25" ht="15.75" thickBot="1" x14ac:dyDescent="0.3">
      <c r="B39" s="138"/>
      <c r="C39" s="138"/>
      <c r="Y39" s="74" t="s">
        <v>29</v>
      </c>
    </row>
    <row r="40" spans="2:25" x14ac:dyDescent="0.25">
      <c r="B40" s="46"/>
      <c r="C40" s="47"/>
    </row>
    <row r="41" spans="2:25" x14ac:dyDescent="0.25">
      <c r="B41" s="43"/>
      <c r="C41" s="48"/>
    </row>
    <row r="42" spans="2:25" x14ac:dyDescent="0.25">
      <c r="B42" s="45"/>
      <c r="C42" s="45"/>
    </row>
    <row r="43" spans="2:25" x14ac:dyDescent="0.25">
      <c r="B43" s="138"/>
      <c r="C43" s="138"/>
    </row>
    <row r="44" spans="2:25" x14ac:dyDescent="0.25">
      <c r="B44" s="33"/>
      <c r="C44" s="34"/>
    </row>
    <row r="45" spans="2:25" x14ac:dyDescent="0.25">
      <c r="B45" s="43"/>
      <c r="C45" s="44"/>
    </row>
  </sheetData>
  <mergeCells count="10">
    <mergeCell ref="A23:A28"/>
    <mergeCell ref="E35:F35"/>
    <mergeCell ref="B39:C39"/>
    <mergeCell ref="B43:C43"/>
    <mergeCell ref="A6:A16"/>
    <mergeCell ref="B1:C1"/>
    <mergeCell ref="E1:H1"/>
    <mergeCell ref="I1:I2"/>
    <mergeCell ref="Y1:Y2"/>
    <mergeCell ref="B2:C2"/>
  </mergeCells>
  <conditionalFormatting sqref="Y3:Y33">
    <cfRule type="cellIs" dxfId="70" priority="11" operator="equal">
      <formula>0</formula>
    </cfRule>
  </conditionalFormatting>
  <conditionalFormatting sqref="E3:E33">
    <cfRule type="cellIs" dxfId="69" priority="10" operator="equal">
      <formula>$Z$1</formula>
    </cfRule>
  </conditionalFormatting>
  <conditionalFormatting sqref="I3:I33">
    <cfRule type="cellIs" dxfId="68" priority="9" operator="equal">
      <formula>$Z$1</formula>
    </cfRule>
  </conditionalFormatting>
  <conditionalFormatting sqref="I34">
    <cfRule type="expression" dxfId="67" priority="8">
      <formula>$E$3:$E$32=TODAY()</formula>
    </cfRule>
  </conditionalFormatting>
  <conditionalFormatting sqref="I34">
    <cfRule type="cellIs" dxfId="66" priority="7" operator="equal">
      <formula>$Z$1</formula>
    </cfRule>
  </conditionalFormatting>
  <conditionalFormatting sqref="E28:F28 I28:Y28 E3:Y3 E29:Y30 E5:Y9 E4:G4 I4:Y4 E11:Y16 E10:G10 I10:Y10 E18:Y23 E17:G17 I17:Y17 E25:Y27 E24:G24 I24:Y24 E32:Y33 E31:G31 I31:Y31">
    <cfRule type="expression" dxfId="65" priority="12">
      <formula>$E3=$Z$1</formula>
    </cfRule>
  </conditionalFormatting>
  <conditionalFormatting sqref="G28:H28">
    <cfRule type="expression" dxfId="64" priority="6">
      <formula>$E28=$Z$1</formula>
    </cfRule>
  </conditionalFormatting>
  <conditionalFormatting sqref="H4">
    <cfRule type="expression" dxfId="63" priority="5">
      <formula>$E4=$Z$1</formula>
    </cfRule>
  </conditionalFormatting>
  <conditionalFormatting sqref="H10">
    <cfRule type="expression" dxfId="62" priority="4">
      <formula>$E10=$Z$1</formula>
    </cfRule>
  </conditionalFormatting>
  <conditionalFormatting sqref="H17">
    <cfRule type="expression" dxfId="61" priority="3">
      <formula>$E17=$Z$1</formula>
    </cfRule>
  </conditionalFormatting>
  <conditionalFormatting sqref="H24">
    <cfRule type="expression" dxfId="60" priority="2">
      <formula>$E24=$Z$1</formula>
    </cfRule>
  </conditionalFormatting>
  <conditionalFormatting sqref="H31">
    <cfRule type="expression" dxfId="59" priority="1">
      <formula>$E31=$Z$1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Z45"/>
  <sheetViews>
    <sheetView zoomScale="85" zoomScaleNormal="85" workbookViewId="0">
      <pane ySplit="2" topLeftCell="A3" activePane="bottomLeft" state="frozen"/>
      <selection activeCell="C15" sqref="C15"/>
      <selection pane="bottomLeft" activeCell="G32" sqref="G32"/>
    </sheetView>
  </sheetViews>
  <sheetFormatPr defaultRowHeight="15" x14ac:dyDescent="0.25"/>
  <cols>
    <col min="1" max="1" width="6.5703125" customWidth="1"/>
    <col min="2" max="2" width="30.42578125" bestFit="1" customWidth="1"/>
    <col min="3" max="3" width="15.28515625" customWidth="1"/>
    <col min="5" max="5" width="8.42578125" bestFit="1" customWidth="1"/>
    <col min="6" max="6" width="12.7109375" bestFit="1" customWidth="1"/>
    <col min="7" max="7" width="12.140625" bestFit="1" customWidth="1"/>
    <col min="8" max="8" width="48.42578125" bestFit="1" customWidth="1"/>
    <col min="9" max="9" width="8.7109375" style="20" bestFit="1" customWidth="1"/>
    <col min="10" max="10" width="12.28515625" customWidth="1"/>
    <col min="11" max="11" width="11.28515625" customWidth="1"/>
    <col min="12" max="12" width="10.140625" customWidth="1"/>
    <col min="13" max="16" width="9.28515625" bestFit="1" customWidth="1"/>
    <col min="17" max="17" width="9.85546875" bestFit="1" customWidth="1"/>
    <col min="18" max="22" width="9.28515625" bestFit="1" customWidth="1"/>
    <col min="23" max="23" width="11" customWidth="1"/>
    <col min="24" max="24" width="10.5703125" bestFit="1" customWidth="1"/>
    <col min="25" max="25" width="9.7109375" style="5" customWidth="1"/>
    <col min="26" max="26" width="10.28515625" bestFit="1" customWidth="1"/>
    <col min="249" max="249" width="30.42578125" bestFit="1" customWidth="1"/>
    <col min="250" max="250" width="12.140625" customWidth="1"/>
    <col min="251" max="251" width="29.140625" bestFit="1" customWidth="1"/>
    <col min="252" max="252" width="12.5703125" customWidth="1"/>
    <col min="254" max="254" width="24" customWidth="1"/>
    <col min="255" max="255" width="22.28515625" customWidth="1"/>
    <col min="257" max="257" width="10.140625" bestFit="1" customWidth="1"/>
    <col min="258" max="258" width="12.7109375" bestFit="1" customWidth="1"/>
    <col min="259" max="259" width="12.140625" bestFit="1" customWidth="1"/>
    <col min="260" max="260" width="24.42578125" bestFit="1" customWidth="1"/>
    <col min="505" max="505" width="30.42578125" bestFit="1" customWidth="1"/>
    <col min="506" max="506" width="12.140625" customWidth="1"/>
    <col min="507" max="507" width="29.140625" bestFit="1" customWidth="1"/>
    <col min="508" max="508" width="12.5703125" customWidth="1"/>
    <col min="510" max="510" width="24" customWidth="1"/>
    <col min="511" max="511" width="22.28515625" customWidth="1"/>
    <col min="513" max="513" width="10.140625" bestFit="1" customWidth="1"/>
    <col min="514" max="514" width="12.7109375" bestFit="1" customWidth="1"/>
    <col min="515" max="515" width="12.140625" bestFit="1" customWidth="1"/>
    <col min="516" max="516" width="24.42578125" bestFit="1" customWidth="1"/>
    <col min="761" max="761" width="30.42578125" bestFit="1" customWidth="1"/>
    <col min="762" max="762" width="12.140625" customWidth="1"/>
    <col min="763" max="763" width="29.140625" bestFit="1" customWidth="1"/>
    <col min="764" max="764" width="12.5703125" customWidth="1"/>
    <col min="766" max="766" width="24" customWidth="1"/>
    <col min="767" max="767" width="22.28515625" customWidth="1"/>
    <col min="769" max="769" width="10.140625" bestFit="1" customWidth="1"/>
    <col min="770" max="770" width="12.7109375" bestFit="1" customWidth="1"/>
    <col min="771" max="771" width="12.140625" bestFit="1" customWidth="1"/>
    <col min="772" max="772" width="24.42578125" bestFit="1" customWidth="1"/>
    <col min="1017" max="1017" width="30.42578125" bestFit="1" customWidth="1"/>
    <col min="1018" max="1018" width="12.140625" customWidth="1"/>
    <col min="1019" max="1019" width="29.140625" bestFit="1" customWidth="1"/>
    <col min="1020" max="1020" width="12.5703125" customWidth="1"/>
    <col min="1022" max="1022" width="24" customWidth="1"/>
    <col min="1023" max="1023" width="22.28515625" customWidth="1"/>
    <col min="1025" max="1025" width="10.140625" bestFit="1" customWidth="1"/>
    <col min="1026" max="1026" width="12.7109375" bestFit="1" customWidth="1"/>
    <col min="1027" max="1027" width="12.140625" bestFit="1" customWidth="1"/>
    <col min="1028" max="1028" width="24.42578125" bestFit="1" customWidth="1"/>
    <col min="1273" max="1273" width="30.42578125" bestFit="1" customWidth="1"/>
    <col min="1274" max="1274" width="12.140625" customWidth="1"/>
    <col min="1275" max="1275" width="29.140625" bestFit="1" customWidth="1"/>
    <col min="1276" max="1276" width="12.5703125" customWidth="1"/>
    <col min="1278" max="1278" width="24" customWidth="1"/>
    <col min="1279" max="1279" width="22.28515625" customWidth="1"/>
    <col min="1281" max="1281" width="10.140625" bestFit="1" customWidth="1"/>
    <col min="1282" max="1282" width="12.7109375" bestFit="1" customWidth="1"/>
    <col min="1283" max="1283" width="12.140625" bestFit="1" customWidth="1"/>
    <col min="1284" max="1284" width="24.42578125" bestFit="1" customWidth="1"/>
    <col min="1529" max="1529" width="30.42578125" bestFit="1" customWidth="1"/>
    <col min="1530" max="1530" width="12.140625" customWidth="1"/>
    <col min="1531" max="1531" width="29.140625" bestFit="1" customWidth="1"/>
    <col min="1532" max="1532" width="12.5703125" customWidth="1"/>
    <col min="1534" max="1534" width="24" customWidth="1"/>
    <col min="1535" max="1535" width="22.28515625" customWidth="1"/>
    <col min="1537" max="1537" width="10.140625" bestFit="1" customWidth="1"/>
    <col min="1538" max="1538" width="12.7109375" bestFit="1" customWidth="1"/>
    <col min="1539" max="1539" width="12.140625" bestFit="1" customWidth="1"/>
    <col min="1540" max="1540" width="24.42578125" bestFit="1" customWidth="1"/>
    <col min="1785" max="1785" width="30.42578125" bestFit="1" customWidth="1"/>
    <col min="1786" max="1786" width="12.140625" customWidth="1"/>
    <col min="1787" max="1787" width="29.140625" bestFit="1" customWidth="1"/>
    <col min="1788" max="1788" width="12.5703125" customWidth="1"/>
    <col min="1790" max="1790" width="24" customWidth="1"/>
    <col min="1791" max="1791" width="22.28515625" customWidth="1"/>
    <col min="1793" max="1793" width="10.140625" bestFit="1" customWidth="1"/>
    <col min="1794" max="1794" width="12.7109375" bestFit="1" customWidth="1"/>
    <col min="1795" max="1795" width="12.140625" bestFit="1" customWidth="1"/>
    <col min="1796" max="1796" width="24.42578125" bestFit="1" customWidth="1"/>
    <col min="2041" max="2041" width="30.42578125" bestFit="1" customWidth="1"/>
    <col min="2042" max="2042" width="12.140625" customWidth="1"/>
    <col min="2043" max="2043" width="29.140625" bestFit="1" customWidth="1"/>
    <col min="2044" max="2044" width="12.5703125" customWidth="1"/>
    <col min="2046" max="2046" width="24" customWidth="1"/>
    <col min="2047" max="2047" width="22.28515625" customWidth="1"/>
    <col min="2049" max="2049" width="10.140625" bestFit="1" customWidth="1"/>
    <col min="2050" max="2050" width="12.7109375" bestFit="1" customWidth="1"/>
    <col min="2051" max="2051" width="12.140625" bestFit="1" customWidth="1"/>
    <col min="2052" max="2052" width="24.42578125" bestFit="1" customWidth="1"/>
    <col min="2297" max="2297" width="30.42578125" bestFit="1" customWidth="1"/>
    <col min="2298" max="2298" width="12.140625" customWidth="1"/>
    <col min="2299" max="2299" width="29.140625" bestFit="1" customWidth="1"/>
    <col min="2300" max="2300" width="12.5703125" customWidth="1"/>
    <col min="2302" max="2302" width="24" customWidth="1"/>
    <col min="2303" max="2303" width="22.28515625" customWidth="1"/>
    <col min="2305" max="2305" width="10.140625" bestFit="1" customWidth="1"/>
    <col min="2306" max="2306" width="12.7109375" bestFit="1" customWidth="1"/>
    <col min="2307" max="2307" width="12.140625" bestFit="1" customWidth="1"/>
    <col min="2308" max="2308" width="24.42578125" bestFit="1" customWidth="1"/>
    <col min="2553" max="2553" width="30.42578125" bestFit="1" customWidth="1"/>
    <col min="2554" max="2554" width="12.140625" customWidth="1"/>
    <col min="2555" max="2555" width="29.140625" bestFit="1" customWidth="1"/>
    <col min="2556" max="2556" width="12.5703125" customWidth="1"/>
    <col min="2558" max="2558" width="24" customWidth="1"/>
    <col min="2559" max="2559" width="22.28515625" customWidth="1"/>
    <col min="2561" max="2561" width="10.140625" bestFit="1" customWidth="1"/>
    <col min="2562" max="2562" width="12.7109375" bestFit="1" customWidth="1"/>
    <col min="2563" max="2563" width="12.140625" bestFit="1" customWidth="1"/>
    <col min="2564" max="2564" width="24.42578125" bestFit="1" customWidth="1"/>
    <col min="2809" max="2809" width="30.42578125" bestFit="1" customWidth="1"/>
    <col min="2810" max="2810" width="12.140625" customWidth="1"/>
    <col min="2811" max="2811" width="29.140625" bestFit="1" customWidth="1"/>
    <col min="2812" max="2812" width="12.5703125" customWidth="1"/>
    <col min="2814" max="2814" width="24" customWidth="1"/>
    <col min="2815" max="2815" width="22.28515625" customWidth="1"/>
    <col min="2817" max="2817" width="10.140625" bestFit="1" customWidth="1"/>
    <col min="2818" max="2818" width="12.7109375" bestFit="1" customWidth="1"/>
    <col min="2819" max="2819" width="12.140625" bestFit="1" customWidth="1"/>
    <col min="2820" max="2820" width="24.42578125" bestFit="1" customWidth="1"/>
    <col min="3065" max="3065" width="30.42578125" bestFit="1" customWidth="1"/>
    <col min="3066" max="3066" width="12.140625" customWidth="1"/>
    <col min="3067" max="3067" width="29.140625" bestFit="1" customWidth="1"/>
    <col min="3068" max="3068" width="12.5703125" customWidth="1"/>
    <col min="3070" max="3070" width="24" customWidth="1"/>
    <col min="3071" max="3071" width="22.28515625" customWidth="1"/>
    <col min="3073" max="3073" width="10.140625" bestFit="1" customWidth="1"/>
    <col min="3074" max="3074" width="12.7109375" bestFit="1" customWidth="1"/>
    <col min="3075" max="3075" width="12.140625" bestFit="1" customWidth="1"/>
    <col min="3076" max="3076" width="24.42578125" bestFit="1" customWidth="1"/>
    <col min="3321" max="3321" width="30.42578125" bestFit="1" customWidth="1"/>
    <col min="3322" max="3322" width="12.140625" customWidth="1"/>
    <col min="3323" max="3323" width="29.140625" bestFit="1" customWidth="1"/>
    <col min="3324" max="3324" width="12.5703125" customWidth="1"/>
    <col min="3326" max="3326" width="24" customWidth="1"/>
    <col min="3327" max="3327" width="22.28515625" customWidth="1"/>
    <col min="3329" max="3329" width="10.140625" bestFit="1" customWidth="1"/>
    <col min="3330" max="3330" width="12.7109375" bestFit="1" customWidth="1"/>
    <col min="3331" max="3331" width="12.140625" bestFit="1" customWidth="1"/>
    <col min="3332" max="3332" width="24.42578125" bestFit="1" customWidth="1"/>
    <col min="3577" max="3577" width="30.42578125" bestFit="1" customWidth="1"/>
    <col min="3578" max="3578" width="12.140625" customWidth="1"/>
    <col min="3579" max="3579" width="29.140625" bestFit="1" customWidth="1"/>
    <col min="3580" max="3580" width="12.5703125" customWidth="1"/>
    <col min="3582" max="3582" width="24" customWidth="1"/>
    <col min="3583" max="3583" width="22.28515625" customWidth="1"/>
    <col min="3585" max="3585" width="10.140625" bestFit="1" customWidth="1"/>
    <col min="3586" max="3586" width="12.7109375" bestFit="1" customWidth="1"/>
    <col min="3587" max="3587" width="12.140625" bestFit="1" customWidth="1"/>
    <col min="3588" max="3588" width="24.42578125" bestFit="1" customWidth="1"/>
    <col min="3833" max="3833" width="30.42578125" bestFit="1" customWidth="1"/>
    <col min="3834" max="3834" width="12.140625" customWidth="1"/>
    <col min="3835" max="3835" width="29.140625" bestFit="1" customWidth="1"/>
    <col min="3836" max="3836" width="12.5703125" customWidth="1"/>
    <col min="3838" max="3838" width="24" customWidth="1"/>
    <col min="3839" max="3839" width="22.28515625" customWidth="1"/>
    <col min="3841" max="3841" width="10.140625" bestFit="1" customWidth="1"/>
    <col min="3842" max="3842" width="12.7109375" bestFit="1" customWidth="1"/>
    <col min="3843" max="3843" width="12.140625" bestFit="1" customWidth="1"/>
    <col min="3844" max="3844" width="24.42578125" bestFit="1" customWidth="1"/>
    <col min="4089" max="4089" width="30.42578125" bestFit="1" customWidth="1"/>
    <col min="4090" max="4090" width="12.140625" customWidth="1"/>
    <col min="4091" max="4091" width="29.140625" bestFit="1" customWidth="1"/>
    <col min="4092" max="4092" width="12.5703125" customWidth="1"/>
    <col min="4094" max="4094" width="24" customWidth="1"/>
    <col min="4095" max="4095" width="22.28515625" customWidth="1"/>
    <col min="4097" max="4097" width="10.140625" bestFit="1" customWidth="1"/>
    <col min="4098" max="4098" width="12.7109375" bestFit="1" customWidth="1"/>
    <col min="4099" max="4099" width="12.140625" bestFit="1" customWidth="1"/>
    <col min="4100" max="4100" width="24.42578125" bestFit="1" customWidth="1"/>
    <col min="4345" max="4345" width="30.42578125" bestFit="1" customWidth="1"/>
    <col min="4346" max="4346" width="12.140625" customWidth="1"/>
    <col min="4347" max="4347" width="29.140625" bestFit="1" customWidth="1"/>
    <col min="4348" max="4348" width="12.5703125" customWidth="1"/>
    <col min="4350" max="4350" width="24" customWidth="1"/>
    <col min="4351" max="4351" width="22.28515625" customWidth="1"/>
    <col min="4353" max="4353" width="10.140625" bestFit="1" customWidth="1"/>
    <col min="4354" max="4354" width="12.7109375" bestFit="1" customWidth="1"/>
    <col min="4355" max="4355" width="12.140625" bestFit="1" customWidth="1"/>
    <col min="4356" max="4356" width="24.42578125" bestFit="1" customWidth="1"/>
    <col min="4601" max="4601" width="30.42578125" bestFit="1" customWidth="1"/>
    <col min="4602" max="4602" width="12.140625" customWidth="1"/>
    <col min="4603" max="4603" width="29.140625" bestFit="1" customWidth="1"/>
    <col min="4604" max="4604" width="12.5703125" customWidth="1"/>
    <col min="4606" max="4606" width="24" customWidth="1"/>
    <col min="4607" max="4607" width="22.28515625" customWidth="1"/>
    <col min="4609" max="4609" width="10.140625" bestFit="1" customWidth="1"/>
    <col min="4610" max="4610" width="12.7109375" bestFit="1" customWidth="1"/>
    <col min="4611" max="4611" width="12.140625" bestFit="1" customWidth="1"/>
    <col min="4612" max="4612" width="24.42578125" bestFit="1" customWidth="1"/>
    <col min="4857" max="4857" width="30.42578125" bestFit="1" customWidth="1"/>
    <col min="4858" max="4858" width="12.140625" customWidth="1"/>
    <col min="4859" max="4859" width="29.140625" bestFit="1" customWidth="1"/>
    <col min="4860" max="4860" width="12.5703125" customWidth="1"/>
    <col min="4862" max="4862" width="24" customWidth="1"/>
    <col min="4863" max="4863" width="22.28515625" customWidth="1"/>
    <col min="4865" max="4865" width="10.140625" bestFit="1" customWidth="1"/>
    <col min="4866" max="4866" width="12.7109375" bestFit="1" customWidth="1"/>
    <col min="4867" max="4867" width="12.140625" bestFit="1" customWidth="1"/>
    <col min="4868" max="4868" width="24.42578125" bestFit="1" customWidth="1"/>
    <col min="5113" max="5113" width="30.42578125" bestFit="1" customWidth="1"/>
    <col min="5114" max="5114" width="12.140625" customWidth="1"/>
    <col min="5115" max="5115" width="29.140625" bestFit="1" customWidth="1"/>
    <col min="5116" max="5116" width="12.5703125" customWidth="1"/>
    <col min="5118" max="5118" width="24" customWidth="1"/>
    <col min="5119" max="5119" width="22.28515625" customWidth="1"/>
    <col min="5121" max="5121" width="10.140625" bestFit="1" customWidth="1"/>
    <col min="5122" max="5122" width="12.7109375" bestFit="1" customWidth="1"/>
    <col min="5123" max="5123" width="12.140625" bestFit="1" customWidth="1"/>
    <col min="5124" max="5124" width="24.42578125" bestFit="1" customWidth="1"/>
    <col min="5369" max="5369" width="30.42578125" bestFit="1" customWidth="1"/>
    <col min="5370" max="5370" width="12.140625" customWidth="1"/>
    <col min="5371" max="5371" width="29.140625" bestFit="1" customWidth="1"/>
    <col min="5372" max="5372" width="12.5703125" customWidth="1"/>
    <col min="5374" max="5374" width="24" customWidth="1"/>
    <col min="5375" max="5375" width="22.28515625" customWidth="1"/>
    <col min="5377" max="5377" width="10.140625" bestFit="1" customWidth="1"/>
    <col min="5378" max="5378" width="12.7109375" bestFit="1" customWidth="1"/>
    <col min="5379" max="5379" width="12.140625" bestFit="1" customWidth="1"/>
    <col min="5380" max="5380" width="24.42578125" bestFit="1" customWidth="1"/>
    <col min="5625" max="5625" width="30.42578125" bestFit="1" customWidth="1"/>
    <col min="5626" max="5626" width="12.140625" customWidth="1"/>
    <col min="5627" max="5627" width="29.140625" bestFit="1" customWidth="1"/>
    <col min="5628" max="5628" width="12.5703125" customWidth="1"/>
    <col min="5630" max="5630" width="24" customWidth="1"/>
    <col min="5631" max="5631" width="22.28515625" customWidth="1"/>
    <col min="5633" max="5633" width="10.140625" bestFit="1" customWidth="1"/>
    <col min="5634" max="5634" width="12.7109375" bestFit="1" customWidth="1"/>
    <col min="5635" max="5635" width="12.140625" bestFit="1" customWidth="1"/>
    <col min="5636" max="5636" width="24.42578125" bestFit="1" customWidth="1"/>
    <col min="5881" max="5881" width="30.42578125" bestFit="1" customWidth="1"/>
    <col min="5882" max="5882" width="12.140625" customWidth="1"/>
    <col min="5883" max="5883" width="29.140625" bestFit="1" customWidth="1"/>
    <col min="5884" max="5884" width="12.5703125" customWidth="1"/>
    <col min="5886" max="5886" width="24" customWidth="1"/>
    <col min="5887" max="5887" width="22.28515625" customWidth="1"/>
    <col min="5889" max="5889" width="10.140625" bestFit="1" customWidth="1"/>
    <col min="5890" max="5890" width="12.7109375" bestFit="1" customWidth="1"/>
    <col min="5891" max="5891" width="12.140625" bestFit="1" customWidth="1"/>
    <col min="5892" max="5892" width="24.42578125" bestFit="1" customWidth="1"/>
    <col min="6137" max="6137" width="30.42578125" bestFit="1" customWidth="1"/>
    <col min="6138" max="6138" width="12.140625" customWidth="1"/>
    <col min="6139" max="6139" width="29.140625" bestFit="1" customWidth="1"/>
    <col min="6140" max="6140" width="12.5703125" customWidth="1"/>
    <col min="6142" max="6142" width="24" customWidth="1"/>
    <col min="6143" max="6143" width="22.28515625" customWidth="1"/>
    <col min="6145" max="6145" width="10.140625" bestFit="1" customWidth="1"/>
    <col min="6146" max="6146" width="12.7109375" bestFit="1" customWidth="1"/>
    <col min="6147" max="6147" width="12.140625" bestFit="1" customWidth="1"/>
    <col min="6148" max="6148" width="24.42578125" bestFit="1" customWidth="1"/>
    <col min="6393" max="6393" width="30.42578125" bestFit="1" customWidth="1"/>
    <col min="6394" max="6394" width="12.140625" customWidth="1"/>
    <col min="6395" max="6395" width="29.140625" bestFit="1" customWidth="1"/>
    <col min="6396" max="6396" width="12.5703125" customWidth="1"/>
    <col min="6398" max="6398" width="24" customWidth="1"/>
    <col min="6399" max="6399" width="22.28515625" customWidth="1"/>
    <col min="6401" max="6401" width="10.140625" bestFit="1" customWidth="1"/>
    <col min="6402" max="6402" width="12.7109375" bestFit="1" customWidth="1"/>
    <col min="6403" max="6403" width="12.140625" bestFit="1" customWidth="1"/>
    <col min="6404" max="6404" width="24.42578125" bestFit="1" customWidth="1"/>
    <col min="6649" max="6649" width="30.42578125" bestFit="1" customWidth="1"/>
    <col min="6650" max="6650" width="12.140625" customWidth="1"/>
    <col min="6651" max="6651" width="29.140625" bestFit="1" customWidth="1"/>
    <col min="6652" max="6652" width="12.5703125" customWidth="1"/>
    <col min="6654" max="6654" width="24" customWidth="1"/>
    <col min="6655" max="6655" width="22.28515625" customWidth="1"/>
    <col min="6657" max="6657" width="10.140625" bestFit="1" customWidth="1"/>
    <col min="6658" max="6658" width="12.7109375" bestFit="1" customWidth="1"/>
    <col min="6659" max="6659" width="12.140625" bestFit="1" customWidth="1"/>
    <col min="6660" max="6660" width="24.42578125" bestFit="1" customWidth="1"/>
    <col min="6905" max="6905" width="30.42578125" bestFit="1" customWidth="1"/>
    <col min="6906" max="6906" width="12.140625" customWidth="1"/>
    <col min="6907" max="6907" width="29.140625" bestFit="1" customWidth="1"/>
    <col min="6908" max="6908" width="12.5703125" customWidth="1"/>
    <col min="6910" max="6910" width="24" customWidth="1"/>
    <col min="6911" max="6911" width="22.28515625" customWidth="1"/>
    <col min="6913" max="6913" width="10.140625" bestFit="1" customWidth="1"/>
    <col min="6914" max="6914" width="12.7109375" bestFit="1" customWidth="1"/>
    <col min="6915" max="6915" width="12.140625" bestFit="1" customWidth="1"/>
    <col min="6916" max="6916" width="24.42578125" bestFit="1" customWidth="1"/>
    <col min="7161" max="7161" width="30.42578125" bestFit="1" customWidth="1"/>
    <col min="7162" max="7162" width="12.140625" customWidth="1"/>
    <col min="7163" max="7163" width="29.140625" bestFit="1" customWidth="1"/>
    <col min="7164" max="7164" width="12.5703125" customWidth="1"/>
    <col min="7166" max="7166" width="24" customWidth="1"/>
    <col min="7167" max="7167" width="22.28515625" customWidth="1"/>
    <col min="7169" max="7169" width="10.140625" bestFit="1" customWidth="1"/>
    <col min="7170" max="7170" width="12.7109375" bestFit="1" customWidth="1"/>
    <col min="7171" max="7171" width="12.140625" bestFit="1" customWidth="1"/>
    <col min="7172" max="7172" width="24.42578125" bestFit="1" customWidth="1"/>
    <col min="7417" max="7417" width="30.42578125" bestFit="1" customWidth="1"/>
    <col min="7418" max="7418" width="12.140625" customWidth="1"/>
    <col min="7419" max="7419" width="29.140625" bestFit="1" customWidth="1"/>
    <col min="7420" max="7420" width="12.5703125" customWidth="1"/>
    <col min="7422" max="7422" width="24" customWidth="1"/>
    <col min="7423" max="7423" width="22.28515625" customWidth="1"/>
    <col min="7425" max="7425" width="10.140625" bestFit="1" customWidth="1"/>
    <col min="7426" max="7426" width="12.7109375" bestFit="1" customWidth="1"/>
    <col min="7427" max="7427" width="12.140625" bestFit="1" customWidth="1"/>
    <col min="7428" max="7428" width="24.42578125" bestFit="1" customWidth="1"/>
    <col min="7673" max="7673" width="30.42578125" bestFit="1" customWidth="1"/>
    <col min="7674" max="7674" width="12.140625" customWidth="1"/>
    <col min="7675" max="7675" width="29.140625" bestFit="1" customWidth="1"/>
    <col min="7676" max="7676" width="12.5703125" customWidth="1"/>
    <col min="7678" max="7678" width="24" customWidth="1"/>
    <col min="7679" max="7679" width="22.28515625" customWidth="1"/>
    <col min="7681" max="7681" width="10.140625" bestFit="1" customWidth="1"/>
    <col min="7682" max="7682" width="12.7109375" bestFit="1" customWidth="1"/>
    <col min="7683" max="7683" width="12.140625" bestFit="1" customWidth="1"/>
    <col min="7684" max="7684" width="24.42578125" bestFit="1" customWidth="1"/>
    <col min="7929" max="7929" width="30.42578125" bestFit="1" customWidth="1"/>
    <col min="7930" max="7930" width="12.140625" customWidth="1"/>
    <col min="7931" max="7931" width="29.140625" bestFit="1" customWidth="1"/>
    <col min="7932" max="7932" width="12.5703125" customWidth="1"/>
    <col min="7934" max="7934" width="24" customWidth="1"/>
    <col min="7935" max="7935" width="22.28515625" customWidth="1"/>
    <col min="7937" max="7937" width="10.140625" bestFit="1" customWidth="1"/>
    <col min="7938" max="7938" width="12.7109375" bestFit="1" customWidth="1"/>
    <col min="7939" max="7939" width="12.140625" bestFit="1" customWidth="1"/>
    <col min="7940" max="7940" width="24.42578125" bestFit="1" customWidth="1"/>
    <col min="8185" max="8185" width="30.42578125" bestFit="1" customWidth="1"/>
    <col min="8186" max="8186" width="12.140625" customWidth="1"/>
    <col min="8187" max="8187" width="29.140625" bestFit="1" customWidth="1"/>
    <col min="8188" max="8188" width="12.5703125" customWidth="1"/>
    <col min="8190" max="8190" width="24" customWidth="1"/>
    <col min="8191" max="8191" width="22.28515625" customWidth="1"/>
    <col min="8193" max="8193" width="10.140625" bestFit="1" customWidth="1"/>
    <col min="8194" max="8194" width="12.7109375" bestFit="1" customWidth="1"/>
    <col min="8195" max="8195" width="12.140625" bestFit="1" customWidth="1"/>
    <col min="8196" max="8196" width="24.42578125" bestFit="1" customWidth="1"/>
    <col min="8441" max="8441" width="30.42578125" bestFit="1" customWidth="1"/>
    <col min="8442" max="8442" width="12.140625" customWidth="1"/>
    <col min="8443" max="8443" width="29.140625" bestFit="1" customWidth="1"/>
    <col min="8444" max="8444" width="12.5703125" customWidth="1"/>
    <col min="8446" max="8446" width="24" customWidth="1"/>
    <col min="8447" max="8447" width="22.28515625" customWidth="1"/>
    <col min="8449" max="8449" width="10.140625" bestFit="1" customWidth="1"/>
    <col min="8450" max="8450" width="12.7109375" bestFit="1" customWidth="1"/>
    <col min="8451" max="8451" width="12.140625" bestFit="1" customWidth="1"/>
    <col min="8452" max="8452" width="24.42578125" bestFit="1" customWidth="1"/>
    <col min="8697" max="8697" width="30.42578125" bestFit="1" customWidth="1"/>
    <col min="8698" max="8698" width="12.140625" customWidth="1"/>
    <col min="8699" max="8699" width="29.140625" bestFit="1" customWidth="1"/>
    <col min="8700" max="8700" width="12.5703125" customWidth="1"/>
    <col min="8702" max="8702" width="24" customWidth="1"/>
    <col min="8703" max="8703" width="22.28515625" customWidth="1"/>
    <col min="8705" max="8705" width="10.140625" bestFit="1" customWidth="1"/>
    <col min="8706" max="8706" width="12.7109375" bestFit="1" customWidth="1"/>
    <col min="8707" max="8707" width="12.140625" bestFit="1" customWidth="1"/>
    <col min="8708" max="8708" width="24.42578125" bestFit="1" customWidth="1"/>
    <col min="8953" max="8953" width="30.42578125" bestFit="1" customWidth="1"/>
    <col min="8954" max="8954" width="12.140625" customWidth="1"/>
    <col min="8955" max="8955" width="29.140625" bestFit="1" customWidth="1"/>
    <col min="8956" max="8956" width="12.5703125" customWidth="1"/>
    <col min="8958" max="8958" width="24" customWidth="1"/>
    <col min="8959" max="8959" width="22.28515625" customWidth="1"/>
    <col min="8961" max="8961" width="10.140625" bestFit="1" customWidth="1"/>
    <col min="8962" max="8962" width="12.7109375" bestFit="1" customWidth="1"/>
    <col min="8963" max="8963" width="12.140625" bestFit="1" customWidth="1"/>
    <col min="8964" max="8964" width="24.42578125" bestFit="1" customWidth="1"/>
    <col min="9209" max="9209" width="30.42578125" bestFit="1" customWidth="1"/>
    <col min="9210" max="9210" width="12.140625" customWidth="1"/>
    <col min="9211" max="9211" width="29.140625" bestFit="1" customWidth="1"/>
    <col min="9212" max="9212" width="12.5703125" customWidth="1"/>
    <col min="9214" max="9214" width="24" customWidth="1"/>
    <col min="9215" max="9215" width="22.28515625" customWidth="1"/>
    <col min="9217" max="9217" width="10.140625" bestFit="1" customWidth="1"/>
    <col min="9218" max="9218" width="12.7109375" bestFit="1" customWidth="1"/>
    <col min="9219" max="9219" width="12.140625" bestFit="1" customWidth="1"/>
    <col min="9220" max="9220" width="24.42578125" bestFit="1" customWidth="1"/>
    <col min="9465" max="9465" width="30.42578125" bestFit="1" customWidth="1"/>
    <col min="9466" max="9466" width="12.140625" customWidth="1"/>
    <col min="9467" max="9467" width="29.140625" bestFit="1" customWidth="1"/>
    <col min="9468" max="9468" width="12.5703125" customWidth="1"/>
    <col min="9470" max="9470" width="24" customWidth="1"/>
    <col min="9471" max="9471" width="22.28515625" customWidth="1"/>
    <col min="9473" max="9473" width="10.140625" bestFit="1" customWidth="1"/>
    <col min="9474" max="9474" width="12.7109375" bestFit="1" customWidth="1"/>
    <col min="9475" max="9475" width="12.140625" bestFit="1" customWidth="1"/>
    <col min="9476" max="9476" width="24.42578125" bestFit="1" customWidth="1"/>
    <col min="9721" max="9721" width="30.42578125" bestFit="1" customWidth="1"/>
    <col min="9722" max="9722" width="12.140625" customWidth="1"/>
    <col min="9723" max="9723" width="29.140625" bestFit="1" customWidth="1"/>
    <col min="9724" max="9724" width="12.5703125" customWidth="1"/>
    <col min="9726" max="9726" width="24" customWidth="1"/>
    <col min="9727" max="9727" width="22.28515625" customWidth="1"/>
    <col min="9729" max="9729" width="10.140625" bestFit="1" customWidth="1"/>
    <col min="9730" max="9730" width="12.7109375" bestFit="1" customWidth="1"/>
    <col min="9731" max="9731" width="12.140625" bestFit="1" customWidth="1"/>
    <col min="9732" max="9732" width="24.42578125" bestFit="1" customWidth="1"/>
    <col min="9977" max="9977" width="30.42578125" bestFit="1" customWidth="1"/>
    <col min="9978" max="9978" width="12.140625" customWidth="1"/>
    <col min="9979" max="9979" width="29.140625" bestFit="1" customWidth="1"/>
    <col min="9980" max="9980" width="12.5703125" customWidth="1"/>
    <col min="9982" max="9982" width="24" customWidth="1"/>
    <col min="9983" max="9983" width="22.28515625" customWidth="1"/>
    <col min="9985" max="9985" width="10.140625" bestFit="1" customWidth="1"/>
    <col min="9986" max="9986" width="12.7109375" bestFit="1" customWidth="1"/>
    <col min="9987" max="9987" width="12.140625" bestFit="1" customWidth="1"/>
    <col min="9988" max="9988" width="24.42578125" bestFit="1" customWidth="1"/>
    <col min="10233" max="10233" width="30.42578125" bestFit="1" customWidth="1"/>
    <col min="10234" max="10234" width="12.140625" customWidth="1"/>
    <col min="10235" max="10235" width="29.140625" bestFit="1" customWidth="1"/>
    <col min="10236" max="10236" width="12.5703125" customWidth="1"/>
    <col min="10238" max="10238" width="24" customWidth="1"/>
    <col min="10239" max="10239" width="22.28515625" customWidth="1"/>
    <col min="10241" max="10241" width="10.140625" bestFit="1" customWidth="1"/>
    <col min="10242" max="10242" width="12.7109375" bestFit="1" customWidth="1"/>
    <col min="10243" max="10243" width="12.140625" bestFit="1" customWidth="1"/>
    <col min="10244" max="10244" width="24.42578125" bestFit="1" customWidth="1"/>
    <col min="10489" max="10489" width="30.42578125" bestFit="1" customWidth="1"/>
    <col min="10490" max="10490" width="12.140625" customWidth="1"/>
    <col min="10491" max="10491" width="29.140625" bestFit="1" customWidth="1"/>
    <col min="10492" max="10492" width="12.5703125" customWidth="1"/>
    <col min="10494" max="10494" width="24" customWidth="1"/>
    <col min="10495" max="10495" width="22.28515625" customWidth="1"/>
    <col min="10497" max="10497" width="10.140625" bestFit="1" customWidth="1"/>
    <col min="10498" max="10498" width="12.7109375" bestFit="1" customWidth="1"/>
    <col min="10499" max="10499" width="12.140625" bestFit="1" customWidth="1"/>
    <col min="10500" max="10500" width="24.42578125" bestFit="1" customWidth="1"/>
    <col min="10745" max="10745" width="30.42578125" bestFit="1" customWidth="1"/>
    <col min="10746" max="10746" width="12.140625" customWidth="1"/>
    <col min="10747" max="10747" width="29.140625" bestFit="1" customWidth="1"/>
    <col min="10748" max="10748" width="12.5703125" customWidth="1"/>
    <col min="10750" max="10750" width="24" customWidth="1"/>
    <col min="10751" max="10751" width="22.28515625" customWidth="1"/>
    <col min="10753" max="10753" width="10.140625" bestFit="1" customWidth="1"/>
    <col min="10754" max="10754" width="12.7109375" bestFit="1" customWidth="1"/>
    <col min="10755" max="10755" width="12.140625" bestFit="1" customWidth="1"/>
    <col min="10756" max="10756" width="24.42578125" bestFit="1" customWidth="1"/>
    <col min="11001" max="11001" width="30.42578125" bestFit="1" customWidth="1"/>
    <col min="11002" max="11002" width="12.140625" customWidth="1"/>
    <col min="11003" max="11003" width="29.140625" bestFit="1" customWidth="1"/>
    <col min="11004" max="11004" width="12.5703125" customWidth="1"/>
    <col min="11006" max="11006" width="24" customWidth="1"/>
    <col min="11007" max="11007" width="22.28515625" customWidth="1"/>
    <col min="11009" max="11009" width="10.140625" bestFit="1" customWidth="1"/>
    <col min="11010" max="11010" width="12.7109375" bestFit="1" customWidth="1"/>
    <col min="11011" max="11011" width="12.140625" bestFit="1" customWidth="1"/>
    <col min="11012" max="11012" width="24.42578125" bestFit="1" customWidth="1"/>
    <col min="11257" max="11257" width="30.42578125" bestFit="1" customWidth="1"/>
    <col min="11258" max="11258" width="12.140625" customWidth="1"/>
    <col min="11259" max="11259" width="29.140625" bestFit="1" customWidth="1"/>
    <col min="11260" max="11260" width="12.5703125" customWidth="1"/>
    <col min="11262" max="11262" width="24" customWidth="1"/>
    <col min="11263" max="11263" width="22.28515625" customWidth="1"/>
    <col min="11265" max="11265" width="10.140625" bestFit="1" customWidth="1"/>
    <col min="11266" max="11266" width="12.7109375" bestFit="1" customWidth="1"/>
    <col min="11267" max="11267" width="12.140625" bestFit="1" customWidth="1"/>
    <col min="11268" max="11268" width="24.42578125" bestFit="1" customWidth="1"/>
    <col min="11513" max="11513" width="30.42578125" bestFit="1" customWidth="1"/>
    <col min="11514" max="11514" width="12.140625" customWidth="1"/>
    <col min="11515" max="11515" width="29.140625" bestFit="1" customWidth="1"/>
    <col min="11516" max="11516" width="12.5703125" customWidth="1"/>
    <col min="11518" max="11518" width="24" customWidth="1"/>
    <col min="11519" max="11519" width="22.28515625" customWidth="1"/>
    <col min="11521" max="11521" width="10.140625" bestFit="1" customWidth="1"/>
    <col min="11522" max="11522" width="12.7109375" bestFit="1" customWidth="1"/>
    <col min="11523" max="11523" width="12.140625" bestFit="1" customWidth="1"/>
    <col min="11524" max="11524" width="24.42578125" bestFit="1" customWidth="1"/>
    <col min="11769" max="11769" width="30.42578125" bestFit="1" customWidth="1"/>
    <col min="11770" max="11770" width="12.140625" customWidth="1"/>
    <col min="11771" max="11771" width="29.140625" bestFit="1" customWidth="1"/>
    <col min="11772" max="11772" width="12.5703125" customWidth="1"/>
    <col min="11774" max="11774" width="24" customWidth="1"/>
    <col min="11775" max="11775" width="22.28515625" customWidth="1"/>
    <col min="11777" max="11777" width="10.140625" bestFit="1" customWidth="1"/>
    <col min="11778" max="11778" width="12.7109375" bestFit="1" customWidth="1"/>
    <col min="11779" max="11779" width="12.140625" bestFit="1" customWidth="1"/>
    <col min="11780" max="11780" width="24.42578125" bestFit="1" customWidth="1"/>
    <col min="12025" max="12025" width="30.42578125" bestFit="1" customWidth="1"/>
    <col min="12026" max="12026" width="12.140625" customWidth="1"/>
    <col min="12027" max="12027" width="29.140625" bestFit="1" customWidth="1"/>
    <col min="12028" max="12028" width="12.5703125" customWidth="1"/>
    <col min="12030" max="12030" width="24" customWidth="1"/>
    <col min="12031" max="12031" width="22.28515625" customWidth="1"/>
    <col min="12033" max="12033" width="10.140625" bestFit="1" customWidth="1"/>
    <col min="12034" max="12034" width="12.7109375" bestFit="1" customWidth="1"/>
    <col min="12035" max="12035" width="12.140625" bestFit="1" customWidth="1"/>
    <col min="12036" max="12036" width="24.42578125" bestFit="1" customWidth="1"/>
    <col min="12281" max="12281" width="30.42578125" bestFit="1" customWidth="1"/>
    <col min="12282" max="12282" width="12.140625" customWidth="1"/>
    <col min="12283" max="12283" width="29.140625" bestFit="1" customWidth="1"/>
    <col min="12284" max="12284" width="12.5703125" customWidth="1"/>
    <col min="12286" max="12286" width="24" customWidth="1"/>
    <col min="12287" max="12287" width="22.28515625" customWidth="1"/>
    <col min="12289" max="12289" width="10.140625" bestFit="1" customWidth="1"/>
    <col min="12290" max="12290" width="12.7109375" bestFit="1" customWidth="1"/>
    <col min="12291" max="12291" width="12.140625" bestFit="1" customWidth="1"/>
    <col min="12292" max="12292" width="24.42578125" bestFit="1" customWidth="1"/>
    <col min="12537" max="12537" width="30.42578125" bestFit="1" customWidth="1"/>
    <col min="12538" max="12538" width="12.140625" customWidth="1"/>
    <col min="12539" max="12539" width="29.140625" bestFit="1" customWidth="1"/>
    <col min="12540" max="12540" width="12.5703125" customWidth="1"/>
    <col min="12542" max="12542" width="24" customWidth="1"/>
    <col min="12543" max="12543" width="22.28515625" customWidth="1"/>
    <col min="12545" max="12545" width="10.140625" bestFit="1" customWidth="1"/>
    <col min="12546" max="12546" width="12.7109375" bestFit="1" customWidth="1"/>
    <col min="12547" max="12547" width="12.140625" bestFit="1" customWidth="1"/>
    <col min="12548" max="12548" width="24.42578125" bestFit="1" customWidth="1"/>
    <col min="12793" max="12793" width="30.42578125" bestFit="1" customWidth="1"/>
    <col min="12794" max="12794" width="12.140625" customWidth="1"/>
    <col min="12795" max="12795" width="29.140625" bestFit="1" customWidth="1"/>
    <col min="12796" max="12796" width="12.5703125" customWidth="1"/>
    <col min="12798" max="12798" width="24" customWidth="1"/>
    <col min="12799" max="12799" width="22.28515625" customWidth="1"/>
    <col min="12801" max="12801" width="10.140625" bestFit="1" customWidth="1"/>
    <col min="12802" max="12802" width="12.7109375" bestFit="1" customWidth="1"/>
    <col min="12803" max="12803" width="12.140625" bestFit="1" customWidth="1"/>
    <col min="12804" max="12804" width="24.42578125" bestFit="1" customWidth="1"/>
    <col min="13049" max="13049" width="30.42578125" bestFit="1" customWidth="1"/>
    <col min="13050" max="13050" width="12.140625" customWidth="1"/>
    <col min="13051" max="13051" width="29.140625" bestFit="1" customWidth="1"/>
    <col min="13052" max="13052" width="12.5703125" customWidth="1"/>
    <col min="13054" max="13054" width="24" customWidth="1"/>
    <col min="13055" max="13055" width="22.28515625" customWidth="1"/>
    <col min="13057" max="13057" width="10.140625" bestFit="1" customWidth="1"/>
    <col min="13058" max="13058" width="12.7109375" bestFit="1" customWidth="1"/>
    <col min="13059" max="13059" width="12.140625" bestFit="1" customWidth="1"/>
    <col min="13060" max="13060" width="24.42578125" bestFit="1" customWidth="1"/>
    <col min="13305" max="13305" width="30.42578125" bestFit="1" customWidth="1"/>
    <col min="13306" max="13306" width="12.140625" customWidth="1"/>
    <col min="13307" max="13307" width="29.140625" bestFit="1" customWidth="1"/>
    <col min="13308" max="13308" width="12.5703125" customWidth="1"/>
    <col min="13310" max="13310" width="24" customWidth="1"/>
    <col min="13311" max="13311" width="22.28515625" customWidth="1"/>
    <col min="13313" max="13313" width="10.140625" bestFit="1" customWidth="1"/>
    <col min="13314" max="13314" width="12.7109375" bestFit="1" customWidth="1"/>
    <col min="13315" max="13315" width="12.140625" bestFit="1" customWidth="1"/>
    <col min="13316" max="13316" width="24.42578125" bestFit="1" customWidth="1"/>
    <col min="13561" max="13561" width="30.42578125" bestFit="1" customWidth="1"/>
    <col min="13562" max="13562" width="12.140625" customWidth="1"/>
    <col min="13563" max="13563" width="29.140625" bestFit="1" customWidth="1"/>
    <col min="13564" max="13564" width="12.5703125" customWidth="1"/>
    <col min="13566" max="13566" width="24" customWidth="1"/>
    <col min="13567" max="13567" width="22.28515625" customWidth="1"/>
    <col min="13569" max="13569" width="10.140625" bestFit="1" customWidth="1"/>
    <col min="13570" max="13570" width="12.7109375" bestFit="1" customWidth="1"/>
    <col min="13571" max="13571" width="12.140625" bestFit="1" customWidth="1"/>
    <col min="13572" max="13572" width="24.42578125" bestFit="1" customWidth="1"/>
    <col min="13817" max="13817" width="30.42578125" bestFit="1" customWidth="1"/>
    <col min="13818" max="13818" width="12.140625" customWidth="1"/>
    <col min="13819" max="13819" width="29.140625" bestFit="1" customWidth="1"/>
    <col min="13820" max="13820" width="12.5703125" customWidth="1"/>
    <col min="13822" max="13822" width="24" customWidth="1"/>
    <col min="13823" max="13823" width="22.28515625" customWidth="1"/>
    <col min="13825" max="13825" width="10.140625" bestFit="1" customWidth="1"/>
    <col min="13826" max="13826" width="12.7109375" bestFit="1" customWidth="1"/>
    <col min="13827" max="13827" width="12.140625" bestFit="1" customWidth="1"/>
    <col min="13828" max="13828" width="24.42578125" bestFit="1" customWidth="1"/>
    <col min="14073" max="14073" width="30.42578125" bestFit="1" customWidth="1"/>
    <col min="14074" max="14074" width="12.140625" customWidth="1"/>
    <col min="14075" max="14075" width="29.140625" bestFit="1" customWidth="1"/>
    <col min="14076" max="14076" width="12.5703125" customWidth="1"/>
    <col min="14078" max="14078" width="24" customWidth="1"/>
    <col min="14079" max="14079" width="22.28515625" customWidth="1"/>
    <col min="14081" max="14081" width="10.140625" bestFit="1" customWidth="1"/>
    <col min="14082" max="14082" width="12.7109375" bestFit="1" customWidth="1"/>
    <col min="14083" max="14083" width="12.140625" bestFit="1" customWidth="1"/>
    <col min="14084" max="14084" width="24.42578125" bestFit="1" customWidth="1"/>
    <col min="14329" max="14329" width="30.42578125" bestFit="1" customWidth="1"/>
    <col min="14330" max="14330" width="12.140625" customWidth="1"/>
    <col min="14331" max="14331" width="29.140625" bestFit="1" customWidth="1"/>
    <col min="14332" max="14332" width="12.5703125" customWidth="1"/>
    <col min="14334" max="14334" width="24" customWidth="1"/>
    <col min="14335" max="14335" width="22.28515625" customWidth="1"/>
    <col min="14337" max="14337" width="10.140625" bestFit="1" customWidth="1"/>
    <col min="14338" max="14338" width="12.7109375" bestFit="1" customWidth="1"/>
    <col min="14339" max="14339" width="12.140625" bestFit="1" customWidth="1"/>
    <col min="14340" max="14340" width="24.42578125" bestFit="1" customWidth="1"/>
    <col min="14585" max="14585" width="30.42578125" bestFit="1" customWidth="1"/>
    <col min="14586" max="14586" width="12.140625" customWidth="1"/>
    <col min="14587" max="14587" width="29.140625" bestFit="1" customWidth="1"/>
    <col min="14588" max="14588" width="12.5703125" customWidth="1"/>
    <col min="14590" max="14590" width="24" customWidth="1"/>
    <col min="14591" max="14591" width="22.28515625" customWidth="1"/>
    <col min="14593" max="14593" width="10.140625" bestFit="1" customWidth="1"/>
    <col min="14594" max="14594" width="12.7109375" bestFit="1" customWidth="1"/>
    <col min="14595" max="14595" width="12.140625" bestFit="1" customWidth="1"/>
    <col min="14596" max="14596" width="24.42578125" bestFit="1" customWidth="1"/>
    <col min="14841" max="14841" width="30.42578125" bestFit="1" customWidth="1"/>
    <col min="14842" max="14842" width="12.140625" customWidth="1"/>
    <col min="14843" max="14843" width="29.140625" bestFit="1" customWidth="1"/>
    <col min="14844" max="14844" width="12.5703125" customWidth="1"/>
    <col min="14846" max="14846" width="24" customWidth="1"/>
    <col min="14847" max="14847" width="22.28515625" customWidth="1"/>
    <col min="14849" max="14849" width="10.140625" bestFit="1" customWidth="1"/>
    <col min="14850" max="14850" width="12.7109375" bestFit="1" customWidth="1"/>
    <col min="14851" max="14851" width="12.140625" bestFit="1" customWidth="1"/>
    <col min="14852" max="14852" width="24.42578125" bestFit="1" customWidth="1"/>
    <col min="15097" max="15097" width="30.42578125" bestFit="1" customWidth="1"/>
    <col min="15098" max="15098" width="12.140625" customWidth="1"/>
    <col min="15099" max="15099" width="29.140625" bestFit="1" customWidth="1"/>
    <col min="15100" max="15100" width="12.5703125" customWidth="1"/>
    <col min="15102" max="15102" width="24" customWidth="1"/>
    <col min="15103" max="15103" width="22.28515625" customWidth="1"/>
    <col min="15105" max="15105" width="10.140625" bestFit="1" customWidth="1"/>
    <col min="15106" max="15106" width="12.7109375" bestFit="1" customWidth="1"/>
    <col min="15107" max="15107" width="12.140625" bestFit="1" customWidth="1"/>
    <col min="15108" max="15108" width="24.42578125" bestFit="1" customWidth="1"/>
    <col min="15353" max="15353" width="30.42578125" bestFit="1" customWidth="1"/>
    <col min="15354" max="15354" width="12.140625" customWidth="1"/>
    <col min="15355" max="15355" width="29.140625" bestFit="1" customWidth="1"/>
    <col min="15356" max="15356" width="12.5703125" customWidth="1"/>
    <col min="15358" max="15358" width="24" customWidth="1"/>
    <col min="15359" max="15359" width="22.28515625" customWidth="1"/>
    <col min="15361" max="15361" width="10.140625" bestFit="1" customWidth="1"/>
    <col min="15362" max="15362" width="12.7109375" bestFit="1" customWidth="1"/>
    <col min="15363" max="15363" width="12.140625" bestFit="1" customWidth="1"/>
    <col min="15364" max="15364" width="24.42578125" bestFit="1" customWidth="1"/>
    <col min="15609" max="15609" width="30.42578125" bestFit="1" customWidth="1"/>
    <col min="15610" max="15610" width="12.140625" customWidth="1"/>
    <col min="15611" max="15611" width="29.140625" bestFit="1" customWidth="1"/>
    <col min="15612" max="15612" width="12.5703125" customWidth="1"/>
    <col min="15614" max="15614" width="24" customWidth="1"/>
    <col min="15615" max="15615" width="22.28515625" customWidth="1"/>
    <col min="15617" max="15617" width="10.140625" bestFit="1" customWidth="1"/>
    <col min="15618" max="15618" width="12.7109375" bestFit="1" customWidth="1"/>
    <col min="15619" max="15619" width="12.140625" bestFit="1" customWidth="1"/>
    <col min="15620" max="15620" width="24.42578125" bestFit="1" customWidth="1"/>
    <col min="15865" max="15865" width="30.42578125" bestFit="1" customWidth="1"/>
    <col min="15866" max="15866" width="12.140625" customWidth="1"/>
    <col min="15867" max="15867" width="29.140625" bestFit="1" customWidth="1"/>
    <col min="15868" max="15868" width="12.5703125" customWidth="1"/>
    <col min="15870" max="15870" width="24" customWidth="1"/>
    <col min="15871" max="15871" width="22.28515625" customWidth="1"/>
    <col min="15873" max="15873" width="10.140625" bestFit="1" customWidth="1"/>
    <col min="15874" max="15874" width="12.7109375" bestFit="1" customWidth="1"/>
    <col min="15875" max="15875" width="12.140625" bestFit="1" customWidth="1"/>
    <col min="15876" max="15876" width="24.42578125" bestFit="1" customWidth="1"/>
    <col min="16121" max="16121" width="30.42578125" bestFit="1" customWidth="1"/>
    <col min="16122" max="16122" width="12.140625" customWidth="1"/>
    <col min="16123" max="16123" width="29.140625" bestFit="1" customWidth="1"/>
    <col min="16124" max="16124" width="12.5703125" customWidth="1"/>
    <col min="16126" max="16126" width="24" customWidth="1"/>
    <col min="16127" max="16127" width="22.28515625" customWidth="1"/>
    <col min="16129" max="16129" width="10.140625" bestFit="1" customWidth="1"/>
    <col min="16130" max="16130" width="12.7109375" bestFit="1" customWidth="1"/>
    <col min="16131" max="16131" width="12.140625" bestFit="1" customWidth="1"/>
    <col min="16132" max="16132" width="24.42578125" bestFit="1" customWidth="1"/>
  </cols>
  <sheetData>
    <row r="1" spans="1:26" ht="15.75" customHeight="1" thickBot="1" x14ac:dyDescent="0.3">
      <c r="B1" s="123">
        <v>42125</v>
      </c>
      <c r="C1" s="123"/>
      <c r="D1" s="7"/>
      <c r="E1" s="124" t="s">
        <v>8</v>
      </c>
      <c r="F1" s="125"/>
      <c r="G1" s="125"/>
      <c r="H1" s="126"/>
      <c r="I1" s="127"/>
      <c r="J1" s="3">
        <v>30</v>
      </c>
      <c r="K1" s="3">
        <v>30</v>
      </c>
      <c r="L1" s="3">
        <v>30</v>
      </c>
      <c r="M1" s="3">
        <v>35</v>
      </c>
      <c r="N1" s="3">
        <v>30</v>
      </c>
      <c r="O1" s="3">
        <v>25</v>
      </c>
      <c r="P1" s="3">
        <v>25</v>
      </c>
      <c r="Q1" s="3">
        <v>30</v>
      </c>
      <c r="R1" s="3">
        <v>35</v>
      </c>
      <c r="S1" s="3">
        <v>35</v>
      </c>
      <c r="T1" s="3">
        <v>30</v>
      </c>
      <c r="U1" s="3">
        <v>35</v>
      </c>
      <c r="V1" s="3">
        <v>35</v>
      </c>
      <c r="W1" s="3">
        <v>30</v>
      </c>
      <c r="X1" s="3">
        <v>30</v>
      </c>
      <c r="Y1" s="129" t="s">
        <v>25</v>
      </c>
      <c r="Z1" s="25">
        <f ca="1">TODAY()</f>
        <v>45273</v>
      </c>
    </row>
    <row r="2" spans="1:26" ht="30" customHeight="1" x14ac:dyDescent="0.25">
      <c r="B2" s="131" t="s">
        <v>1</v>
      </c>
      <c r="C2" s="132"/>
      <c r="E2" s="35" t="s">
        <v>12</v>
      </c>
      <c r="F2" s="36" t="s">
        <v>9</v>
      </c>
      <c r="G2" s="36" t="s">
        <v>10</v>
      </c>
      <c r="H2" s="4" t="s">
        <v>11</v>
      </c>
      <c r="I2" s="128"/>
      <c r="J2" s="23" t="s">
        <v>22</v>
      </c>
      <c r="K2" s="23" t="s">
        <v>5</v>
      </c>
      <c r="L2" s="23" t="s">
        <v>13</v>
      </c>
      <c r="M2" s="23" t="s">
        <v>14</v>
      </c>
      <c r="N2" s="23" t="s">
        <v>15</v>
      </c>
      <c r="O2" s="23" t="s">
        <v>56</v>
      </c>
      <c r="P2" s="23" t="s">
        <v>55</v>
      </c>
      <c r="Q2" s="23" t="s">
        <v>23</v>
      </c>
      <c r="R2" s="23" t="s">
        <v>57</v>
      </c>
      <c r="S2" s="23" t="s">
        <v>26</v>
      </c>
      <c r="T2" s="23" t="s">
        <v>19</v>
      </c>
      <c r="U2" s="23" t="s">
        <v>20</v>
      </c>
      <c r="V2" s="23" t="s">
        <v>21</v>
      </c>
      <c r="W2" s="23" t="s">
        <v>36</v>
      </c>
      <c r="X2" s="23" t="s">
        <v>41</v>
      </c>
      <c r="Y2" s="130"/>
    </row>
    <row r="3" spans="1:26" ht="15.75" thickBot="1" x14ac:dyDescent="0.3">
      <c r="B3" s="49" t="s">
        <v>0</v>
      </c>
      <c r="C3" s="50" t="s">
        <v>2</v>
      </c>
      <c r="E3" s="32">
        <f>B1</f>
        <v>42125</v>
      </c>
      <c r="F3" s="71"/>
      <c r="G3" s="71"/>
      <c r="H3" s="72"/>
      <c r="I3" s="31">
        <f>E3</f>
        <v>42125</v>
      </c>
      <c r="J3" s="37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9"/>
      <c r="Y3" s="61">
        <f>SUM(J3:X3)</f>
        <v>0</v>
      </c>
    </row>
    <row r="4" spans="1:26" ht="15.75" thickBot="1" x14ac:dyDescent="0.3">
      <c r="B4" s="14" t="s">
        <v>3</v>
      </c>
      <c r="C4" s="15">
        <f>F34</f>
        <v>36840</v>
      </c>
      <c r="E4" s="32">
        <f>E3+1</f>
        <v>42126</v>
      </c>
      <c r="F4" s="71"/>
      <c r="G4" s="71"/>
      <c r="H4" s="72"/>
      <c r="I4" s="31">
        <f t="shared" ref="I4:I33" si="0">E4</f>
        <v>42126</v>
      </c>
      <c r="J4" s="40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2"/>
      <c r="Y4" s="62">
        <f>SUM(J4:X4)</f>
        <v>0</v>
      </c>
    </row>
    <row r="5" spans="1:26" ht="15" customHeight="1" thickBot="1" x14ac:dyDescent="0.3">
      <c r="A5" s="51"/>
      <c r="E5" s="32">
        <f t="shared" ref="E5:E33" si="1">E4+1</f>
        <v>42127</v>
      </c>
      <c r="F5" s="71"/>
      <c r="G5" s="71"/>
      <c r="H5" s="72"/>
      <c r="I5" s="31">
        <f t="shared" si="0"/>
        <v>42127</v>
      </c>
      <c r="J5" s="40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2"/>
      <c r="Y5" s="62">
        <f t="shared" ref="Y5:Y33" si="2">SUM(J5:X5)</f>
        <v>0</v>
      </c>
    </row>
    <row r="6" spans="1:26" ht="15" customHeight="1" x14ac:dyDescent="0.25">
      <c r="A6" s="139" t="s">
        <v>42</v>
      </c>
      <c r="B6" s="76" t="s">
        <v>7</v>
      </c>
      <c r="C6" s="11">
        <v>4000</v>
      </c>
      <c r="E6" s="32">
        <f t="shared" si="1"/>
        <v>42128</v>
      </c>
      <c r="F6" s="71"/>
      <c r="G6" s="71"/>
      <c r="H6" s="72"/>
      <c r="I6" s="31">
        <f t="shared" si="0"/>
        <v>42128</v>
      </c>
      <c r="J6" s="40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2"/>
      <c r="Y6" s="62">
        <f t="shared" si="2"/>
        <v>0</v>
      </c>
    </row>
    <row r="7" spans="1:26" x14ac:dyDescent="0.25">
      <c r="A7" s="140"/>
      <c r="B7" s="77" t="s">
        <v>43</v>
      </c>
      <c r="C7" s="12">
        <v>40</v>
      </c>
      <c r="E7" s="32">
        <f t="shared" si="1"/>
        <v>42129</v>
      </c>
      <c r="F7" s="71"/>
      <c r="G7" s="71"/>
      <c r="H7" s="72"/>
      <c r="I7" s="31">
        <f t="shared" si="0"/>
        <v>42129</v>
      </c>
      <c r="J7" s="40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2"/>
      <c r="Y7" s="62">
        <f t="shared" si="2"/>
        <v>0</v>
      </c>
    </row>
    <row r="8" spans="1:26" x14ac:dyDescent="0.25">
      <c r="A8" s="140"/>
      <c r="B8" s="77" t="s">
        <v>4</v>
      </c>
      <c r="C8" s="13">
        <f>(INDEX('[1]Кредит Сатурн'!$C:$C,MATCH(B1,'[1]Кредит Сатурн'!$A:$A,0)))</f>
        <v>2064</v>
      </c>
      <c r="E8" s="32">
        <f t="shared" si="1"/>
        <v>42130</v>
      </c>
      <c r="F8" s="71"/>
      <c r="G8" s="71"/>
      <c r="H8" s="72"/>
      <c r="I8" s="31">
        <f t="shared" si="0"/>
        <v>42130</v>
      </c>
      <c r="J8" s="40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2"/>
      <c r="Y8" s="62">
        <f t="shared" si="2"/>
        <v>0</v>
      </c>
    </row>
    <row r="9" spans="1:26" x14ac:dyDescent="0.25">
      <c r="A9" s="140"/>
      <c r="B9" s="77" t="s">
        <v>27</v>
      </c>
      <c r="C9" s="12">
        <f>'[2]Расход ингредиентов'!$D$120</f>
        <v>9100</v>
      </c>
      <c r="E9" s="32">
        <f t="shared" si="1"/>
        <v>42131</v>
      </c>
      <c r="F9" s="71">
        <f>8570-60</f>
        <v>8510</v>
      </c>
      <c r="G9" s="71">
        <v>250</v>
      </c>
      <c r="H9" s="72" t="s">
        <v>101</v>
      </c>
      <c r="I9" s="31">
        <f t="shared" si="0"/>
        <v>42131</v>
      </c>
      <c r="J9" s="40">
        <v>15</v>
      </c>
      <c r="K9" s="41">
        <v>7</v>
      </c>
      <c r="L9" s="41">
        <v>7</v>
      </c>
      <c r="M9" s="41">
        <v>65</v>
      </c>
      <c r="N9" s="41">
        <v>27</v>
      </c>
      <c r="O9" s="41">
        <v>34</v>
      </c>
      <c r="P9" s="41">
        <v>10</v>
      </c>
      <c r="Q9" s="41">
        <v>41</v>
      </c>
      <c r="R9" s="41">
        <v>14</v>
      </c>
      <c r="S9" s="41">
        <v>31</v>
      </c>
      <c r="T9" s="41">
        <v>17</v>
      </c>
      <c r="U9" s="41">
        <v>10</v>
      </c>
      <c r="V9" s="41">
        <v>18</v>
      </c>
      <c r="W9" s="41">
        <v>10</v>
      </c>
      <c r="X9" s="42">
        <v>9</v>
      </c>
      <c r="Y9" s="62">
        <f t="shared" si="2"/>
        <v>315</v>
      </c>
    </row>
    <row r="10" spans="1:26" x14ac:dyDescent="0.25">
      <c r="A10" s="140"/>
      <c r="B10" s="77" t="s">
        <v>44</v>
      </c>
      <c r="C10" s="12">
        <f>'[2]Расход ингредиентов'!$D$117</f>
        <v>377</v>
      </c>
      <c r="E10" s="32">
        <f t="shared" si="1"/>
        <v>42132</v>
      </c>
      <c r="F10" s="71"/>
      <c r="G10" s="71"/>
      <c r="H10" s="120"/>
      <c r="I10" s="31">
        <f t="shared" si="0"/>
        <v>42132</v>
      </c>
      <c r="J10" s="40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2"/>
      <c r="Y10" s="62">
        <f t="shared" si="2"/>
        <v>0</v>
      </c>
    </row>
    <row r="11" spans="1:26" x14ac:dyDescent="0.25">
      <c r="A11" s="140"/>
      <c r="B11" s="77" t="s">
        <v>38</v>
      </c>
      <c r="C11" s="12">
        <f>'[2]Расход ингредиентов'!$D$116</f>
        <v>-510</v>
      </c>
      <c r="E11" s="32">
        <f t="shared" si="1"/>
        <v>42133</v>
      </c>
      <c r="F11" s="71"/>
      <c r="G11" s="71"/>
      <c r="H11" s="72"/>
      <c r="I11" s="31">
        <f t="shared" si="0"/>
        <v>42133</v>
      </c>
      <c r="J11" s="40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2"/>
      <c r="Y11" s="62">
        <f t="shared" si="2"/>
        <v>0</v>
      </c>
    </row>
    <row r="12" spans="1:26" x14ac:dyDescent="0.25">
      <c r="A12" s="140"/>
      <c r="B12" s="77" t="s">
        <v>39</v>
      </c>
      <c r="C12" s="12">
        <v>0</v>
      </c>
      <c r="E12" s="32">
        <f t="shared" si="1"/>
        <v>42134</v>
      </c>
      <c r="F12" s="71"/>
      <c r="G12" s="71"/>
      <c r="H12" s="72"/>
      <c r="I12" s="31">
        <f t="shared" si="0"/>
        <v>42134</v>
      </c>
      <c r="J12" s="40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2"/>
      <c r="Y12" s="62">
        <f t="shared" si="2"/>
        <v>0</v>
      </c>
    </row>
    <row r="13" spans="1:26" x14ac:dyDescent="0.25">
      <c r="A13" s="140"/>
      <c r="B13" s="77" t="s">
        <v>31</v>
      </c>
      <c r="C13" s="18">
        <v>3300</v>
      </c>
      <c r="E13" s="32">
        <f t="shared" si="1"/>
        <v>42135</v>
      </c>
      <c r="F13" s="71"/>
      <c r="G13" s="71"/>
      <c r="H13" s="72"/>
      <c r="I13" s="31">
        <f t="shared" si="0"/>
        <v>42135</v>
      </c>
      <c r="J13" s="40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2"/>
      <c r="Y13" s="62">
        <f t="shared" si="2"/>
        <v>0</v>
      </c>
    </row>
    <row r="14" spans="1:26" x14ac:dyDescent="0.25">
      <c r="A14" s="140"/>
      <c r="B14" s="77" t="s">
        <v>46</v>
      </c>
      <c r="C14" s="18">
        <v>1430</v>
      </c>
      <c r="E14" s="32">
        <f t="shared" si="1"/>
        <v>42136</v>
      </c>
      <c r="F14" s="71"/>
      <c r="G14" s="71"/>
      <c r="H14" s="72"/>
      <c r="I14" s="31">
        <f t="shared" si="0"/>
        <v>42136</v>
      </c>
      <c r="J14" s="40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2"/>
      <c r="Y14" s="62">
        <f t="shared" si="2"/>
        <v>0</v>
      </c>
    </row>
    <row r="15" spans="1:26" x14ac:dyDescent="0.25">
      <c r="A15" s="140"/>
      <c r="B15" s="77" t="s">
        <v>45</v>
      </c>
      <c r="C15" s="12">
        <f>G9+G21+G25</f>
        <v>580</v>
      </c>
      <c r="E15" s="32">
        <f t="shared" si="1"/>
        <v>42137</v>
      </c>
      <c r="F15" s="71"/>
      <c r="G15" s="71"/>
      <c r="H15" s="72"/>
      <c r="I15" s="31">
        <f t="shared" si="0"/>
        <v>42137</v>
      </c>
      <c r="J15" s="40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62">
        <f t="shared" si="2"/>
        <v>0</v>
      </c>
    </row>
    <row r="16" spans="1:26" ht="15.75" thickBot="1" x14ac:dyDescent="0.3">
      <c r="A16" s="141"/>
      <c r="B16" s="78" t="s">
        <v>47</v>
      </c>
      <c r="C16" s="53">
        <f>SUM(C6:C15)</f>
        <v>20381</v>
      </c>
      <c r="E16" s="32">
        <f t="shared" si="1"/>
        <v>42138</v>
      </c>
      <c r="F16" s="71">
        <f>9320</f>
        <v>9320</v>
      </c>
      <c r="G16" s="71"/>
      <c r="H16" s="72" t="s">
        <v>3</v>
      </c>
      <c r="I16" s="31">
        <f t="shared" si="0"/>
        <v>42138</v>
      </c>
      <c r="J16" s="40">
        <v>11</v>
      </c>
      <c r="K16" s="41">
        <v>11</v>
      </c>
      <c r="L16" s="41">
        <v>3</v>
      </c>
      <c r="M16" s="41">
        <v>44</v>
      </c>
      <c r="N16" s="41">
        <v>27</v>
      </c>
      <c r="O16" s="41">
        <v>19</v>
      </c>
      <c r="P16" s="41">
        <v>6</v>
      </c>
      <c r="Q16" s="41">
        <v>84</v>
      </c>
      <c r="R16" s="41">
        <v>10</v>
      </c>
      <c r="S16" s="41">
        <v>11</v>
      </c>
      <c r="T16" s="41">
        <v>13</v>
      </c>
      <c r="U16" s="41">
        <v>15</v>
      </c>
      <c r="V16" s="41">
        <v>18</v>
      </c>
      <c r="W16" s="41">
        <v>15</v>
      </c>
      <c r="X16" s="42">
        <v>4</v>
      </c>
      <c r="Y16" s="62">
        <f t="shared" si="2"/>
        <v>291</v>
      </c>
    </row>
    <row r="17" spans="1:25" ht="15.75" thickBot="1" x14ac:dyDescent="0.3">
      <c r="E17" s="32">
        <f t="shared" si="1"/>
        <v>42139</v>
      </c>
      <c r="F17" s="71"/>
      <c r="G17" s="71"/>
      <c r="H17" s="72"/>
      <c r="I17" s="31">
        <f t="shared" si="0"/>
        <v>42139</v>
      </c>
      <c r="J17" s="40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2"/>
      <c r="Y17" s="62">
        <f t="shared" si="2"/>
        <v>0</v>
      </c>
    </row>
    <row r="18" spans="1:25" ht="15.75" thickBot="1" x14ac:dyDescent="0.3">
      <c r="B18" s="16" t="s">
        <v>32</v>
      </c>
      <c r="C18" s="17">
        <f>C4-C16</f>
        <v>16459</v>
      </c>
      <c r="E18" s="32">
        <f t="shared" si="1"/>
        <v>42140</v>
      </c>
      <c r="F18" s="71"/>
      <c r="G18" s="71"/>
      <c r="H18" s="72"/>
      <c r="I18" s="31">
        <f t="shared" si="0"/>
        <v>42140</v>
      </c>
      <c r="J18" s="40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2"/>
      <c r="Y18" s="62">
        <f t="shared" si="2"/>
        <v>0</v>
      </c>
    </row>
    <row r="19" spans="1:25" ht="15.75" thickBot="1" x14ac:dyDescent="0.3">
      <c r="E19" s="32">
        <f t="shared" si="1"/>
        <v>42141</v>
      </c>
      <c r="F19" s="71"/>
      <c r="G19" s="71"/>
      <c r="H19" s="72"/>
      <c r="I19" s="31">
        <f t="shared" si="0"/>
        <v>42141</v>
      </c>
      <c r="J19" s="40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2"/>
      <c r="Y19" s="62">
        <f t="shared" si="2"/>
        <v>0</v>
      </c>
    </row>
    <row r="20" spans="1:25" ht="15.75" thickBot="1" x14ac:dyDescent="0.3">
      <c r="B20" s="16" t="s">
        <v>48</v>
      </c>
      <c r="C20" s="17">
        <f>CEILING(C6+C8,100)</f>
        <v>6100</v>
      </c>
      <c r="E20" s="32">
        <f t="shared" si="1"/>
        <v>42142</v>
      </c>
      <c r="F20" s="71"/>
      <c r="G20" s="71"/>
      <c r="H20" s="72"/>
      <c r="I20" s="31">
        <f t="shared" si="0"/>
        <v>42142</v>
      </c>
      <c r="J20" s="40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2"/>
      <c r="Y20" s="62">
        <f t="shared" si="2"/>
        <v>0</v>
      </c>
    </row>
    <row r="21" spans="1:25" ht="15.75" thickBot="1" x14ac:dyDescent="0.3">
      <c r="E21" s="32">
        <f>E20+1</f>
        <v>42143</v>
      </c>
      <c r="F21" s="71"/>
      <c r="G21" s="71">
        <v>200</v>
      </c>
      <c r="H21" s="72" t="s">
        <v>78</v>
      </c>
      <c r="I21" s="31">
        <f t="shared" si="0"/>
        <v>42143</v>
      </c>
      <c r="J21" s="40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2"/>
      <c r="Y21" s="62">
        <f t="shared" si="2"/>
        <v>0</v>
      </c>
    </row>
    <row r="22" spans="1:25" ht="15.75" thickBot="1" x14ac:dyDescent="0.3">
      <c r="B22" s="52" t="s">
        <v>53</v>
      </c>
      <c r="C22" s="63">
        <f>C18</f>
        <v>16459</v>
      </c>
      <c r="E22" s="32">
        <f t="shared" si="1"/>
        <v>42144</v>
      </c>
      <c r="F22" s="71">
        <v>7060</v>
      </c>
      <c r="G22" s="71"/>
      <c r="H22" s="72" t="s">
        <v>3</v>
      </c>
      <c r="I22" s="31">
        <f t="shared" si="0"/>
        <v>42144</v>
      </c>
      <c r="J22" s="40">
        <v>4</v>
      </c>
      <c r="K22" s="41">
        <v>10</v>
      </c>
      <c r="L22" s="41">
        <v>10</v>
      </c>
      <c r="M22" s="41">
        <v>51</v>
      </c>
      <c r="N22" s="41">
        <v>27</v>
      </c>
      <c r="O22" s="41">
        <v>16</v>
      </c>
      <c r="P22" s="41">
        <v>5</v>
      </c>
      <c r="Q22" s="41">
        <v>22</v>
      </c>
      <c r="R22" s="41">
        <v>49</v>
      </c>
      <c r="S22" s="41">
        <v>12</v>
      </c>
      <c r="T22" s="41">
        <v>15</v>
      </c>
      <c r="U22" s="41">
        <v>13</v>
      </c>
      <c r="V22" s="41">
        <v>14</v>
      </c>
      <c r="W22" s="41">
        <v>6</v>
      </c>
      <c r="X22" s="42">
        <v>2</v>
      </c>
      <c r="Y22" s="62">
        <f t="shared" si="2"/>
        <v>256</v>
      </c>
    </row>
    <row r="23" spans="1:25" ht="15" customHeight="1" x14ac:dyDescent="0.25">
      <c r="A23" s="133" t="s">
        <v>49</v>
      </c>
      <c r="B23" s="58" t="s">
        <v>50</v>
      </c>
      <c r="C23" s="59">
        <v>0</v>
      </c>
      <c r="E23" s="32">
        <f t="shared" si="1"/>
        <v>42145</v>
      </c>
      <c r="F23" s="71"/>
      <c r="G23" s="71"/>
      <c r="H23" s="72"/>
      <c r="I23" s="31">
        <f t="shared" si="0"/>
        <v>42145</v>
      </c>
      <c r="J23" s="40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2"/>
      <c r="Y23" s="62">
        <f t="shared" si="2"/>
        <v>0</v>
      </c>
    </row>
    <row r="24" spans="1:25" x14ac:dyDescent="0.25">
      <c r="A24" s="134"/>
      <c r="B24" s="54" t="s">
        <v>40</v>
      </c>
      <c r="C24" s="55">
        <v>0</v>
      </c>
      <c r="E24" s="32">
        <f t="shared" si="1"/>
        <v>42146</v>
      </c>
      <c r="F24" s="71"/>
      <c r="G24" s="71"/>
      <c r="H24" s="72"/>
      <c r="I24" s="31">
        <f t="shared" si="0"/>
        <v>42146</v>
      </c>
      <c r="J24" s="40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2"/>
      <c r="Y24" s="62">
        <f t="shared" si="2"/>
        <v>0</v>
      </c>
    </row>
    <row r="25" spans="1:25" x14ac:dyDescent="0.25">
      <c r="A25" s="134"/>
      <c r="B25" s="54" t="s">
        <v>51</v>
      </c>
      <c r="C25" s="55">
        <v>0</v>
      </c>
      <c r="E25" s="32">
        <f t="shared" si="1"/>
        <v>42147</v>
      </c>
      <c r="F25" s="71"/>
      <c r="G25" s="71">
        <v>130</v>
      </c>
      <c r="H25" s="72" t="s">
        <v>103</v>
      </c>
      <c r="I25" s="31">
        <f t="shared" si="0"/>
        <v>42147</v>
      </c>
      <c r="J25" s="40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2"/>
      <c r="Y25" s="62">
        <f t="shared" si="2"/>
        <v>0</v>
      </c>
    </row>
    <row r="26" spans="1:25" ht="15.75" thickBot="1" x14ac:dyDescent="0.3">
      <c r="A26" s="134"/>
      <c r="B26" s="57" t="s">
        <v>52</v>
      </c>
      <c r="C26" s="56">
        <v>0</v>
      </c>
      <c r="E26" s="32">
        <f t="shared" si="1"/>
        <v>42148</v>
      </c>
      <c r="F26" s="71"/>
      <c r="G26" s="71"/>
      <c r="H26" s="72"/>
      <c r="I26" s="31">
        <f t="shared" si="0"/>
        <v>42148</v>
      </c>
      <c r="J26" s="40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2"/>
      <c r="Y26" s="62">
        <f t="shared" si="2"/>
        <v>0</v>
      </c>
    </row>
    <row r="27" spans="1:25" ht="15.75" thickBot="1" x14ac:dyDescent="0.3">
      <c r="A27" s="134"/>
      <c r="B27" s="52" t="s">
        <v>54</v>
      </c>
      <c r="C27" s="60">
        <f>C22-SUM(C23:C26)</f>
        <v>16459</v>
      </c>
      <c r="E27" s="32">
        <f t="shared" si="1"/>
        <v>42149</v>
      </c>
      <c r="F27" s="71"/>
      <c r="G27" s="71"/>
      <c r="H27" s="72"/>
      <c r="I27" s="31">
        <f t="shared" si="0"/>
        <v>42149</v>
      </c>
      <c r="J27" s="40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2"/>
      <c r="Y27" s="62">
        <f t="shared" si="2"/>
        <v>0</v>
      </c>
    </row>
    <row r="28" spans="1:25" ht="15.75" thickBot="1" x14ac:dyDescent="0.3">
      <c r="A28" s="135"/>
      <c r="B28" s="33"/>
      <c r="C28" s="34"/>
      <c r="E28" s="32">
        <f t="shared" si="1"/>
        <v>42150</v>
      </c>
      <c r="F28" s="71"/>
      <c r="G28" s="29"/>
      <c r="H28" s="72"/>
      <c r="I28" s="31">
        <f t="shared" si="0"/>
        <v>42150</v>
      </c>
      <c r="J28" s="40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2"/>
      <c r="Y28" s="62">
        <f t="shared" si="2"/>
        <v>0</v>
      </c>
    </row>
    <row r="29" spans="1:25" ht="15.75" thickBot="1" x14ac:dyDescent="0.3">
      <c r="B29" s="16" t="s">
        <v>28</v>
      </c>
      <c r="C29" s="17">
        <f>'5'!G35+'4'!C29</f>
        <v>145497</v>
      </c>
      <c r="E29" s="32">
        <f t="shared" si="1"/>
        <v>42151</v>
      </c>
      <c r="F29" s="71">
        <f>8270</f>
        <v>8270</v>
      </c>
      <c r="G29" s="71"/>
      <c r="H29" s="72" t="s">
        <v>3</v>
      </c>
      <c r="I29" s="31">
        <f t="shared" si="0"/>
        <v>42151</v>
      </c>
      <c r="J29" s="40">
        <v>6</v>
      </c>
      <c r="K29" s="41">
        <v>9</v>
      </c>
      <c r="L29" s="41">
        <v>5</v>
      </c>
      <c r="M29" s="41">
        <v>68</v>
      </c>
      <c r="N29" s="41">
        <v>35</v>
      </c>
      <c r="O29" s="41">
        <v>19</v>
      </c>
      <c r="P29" s="41">
        <v>17</v>
      </c>
      <c r="Q29" s="41">
        <v>24</v>
      </c>
      <c r="R29" s="41">
        <v>12</v>
      </c>
      <c r="S29" s="41">
        <v>5</v>
      </c>
      <c r="T29" s="41">
        <v>13</v>
      </c>
      <c r="U29" s="41">
        <v>40</v>
      </c>
      <c r="V29" s="41">
        <v>14</v>
      </c>
      <c r="W29" s="41">
        <v>12</v>
      </c>
      <c r="X29" s="42">
        <v>8</v>
      </c>
      <c r="Y29" s="62">
        <f t="shared" si="2"/>
        <v>287</v>
      </c>
    </row>
    <row r="30" spans="1:25" x14ac:dyDescent="0.25">
      <c r="B30" s="46"/>
      <c r="C30" s="47"/>
      <c r="E30" s="32">
        <f t="shared" si="1"/>
        <v>42152</v>
      </c>
      <c r="F30" s="29"/>
      <c r="G30" s="29"/>
      <c r="H30" s="120"/>
      <c r="I30" s="31">
        <f t="shared" si="0"/>
        <v>42152</v>
      </c>
      <c r="J30" s="40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2"/>
      <c r="Y30" s="62">
        <f t="shared" si="2"/>
        <v>0</v>
      </c>
    </row>
    <row r="31" spans="1:25" x14ac:dyDescent="0.25">
      <c r="B31" s="43"/>
      <c r="C31" s="48"/>
      <c r="E31" s="32">
        <f t="shared" si="1"/>
        <v>42153</v>
      </c>
      <c r="F31" s="29"/>
      <c r="G31" s="29"/>
      <c r="H31" s="72"/>
      <c r="I31" s="31">
        <f t="shared" si="0"/>
        <v>42153</v>
      </c>
      <c r="J31" s="40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2"/>
      <c r="Y31" s="62">
        <f t="shared" si="2"/>
        <v>0</v>
      </c>
    </row>
    <row r="32" spans="1:25" x14ac:dyDescent="0.25">
      <c r="B32" s="43"/>
      <c r="C32" s="48"/>
      <c r="E32" s="32">
        <f t="shared" si="1"/>
        <v>42154</v>
      </c>
      <c r="F32" s="29"/>
      <c r="G32" s="29"/>
      <c r="H32" s="72"/>
      <c r="I32" s="31">
        <f t="shared" si="0"/>
        <v>42154</v>
      </c>
      <c r="J32" s="40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2"/>
      <c r="Y32" s="62">
        <f t="shared" si="2"/>
        <v>0</v>
      </c>
    </row>
    <row r="33" spans="2:25" ht="15.75" thickBot="1" x14ac:dyDescent="0.3">
      <c r="B33" s="33"/>
      <c r="C33" s="34"/>
      <c r="E33" s="32">
        <f t="shared" si="1"/>
        <v>42155</v>
      </c>
      <c r="F33" s="29">
        <f>3680</f>
        <v>3680</v>
      </c>
      <c r="G33" s="29"/>
      <c r="H33" s="72" t="s">
        <v>102</v>
      </c>
      <c r="I33" s="31">
        <f t="shared" si="0"/>
        <v>42155</v>
      </c>
      <c r="J33" s="40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2"/>
      <c r="Y33" s="62">
        <f t="shared" si="2"/>
        <v>0</v>
      </c>
    </row>
    <row r="34" spans="2:25" ht="15.75" thickBot="1" x14ac:dyDescent="0.3">
      <c r="B34" s="43"/>
      <c r="C34" s="48"/>
      <c r="E34" s="19" t="s">
        <v>6</v>
      </c>
      <c r="F34" s="6">
        <f>SUM(F3:F33)</f>
        <v>36840</v>
      </c>
      <c r="G34" s="6">
        <f>SUM(G3:G33)</f>
        <v>580</v>
      </c>
      <c r="H34" s="2"/>
      <c r="I34" s="22" t="s">
        <v>33</v>
      </c>
      <c r="J34" s="24">
        <f t="shared" ref="J34:Y34" si="3">SUM(J3:J33)</f>
        <v>36</v>
      </c>
      <c r="K34" s="24">
        <f t="shared" si="3"/>
        <v>37</v>
      </c>
      <c r="L34" s="24">
        <f t="shared" si="3"/>
        <v>25</v>
      </c>
      <c r="M34" s="24">
        <f t="shared" si="3"/>
        <v>228</v>
      </c>
      <c r="N34" s="24">
        <f t="shared" si="3"/>
        <v>116</v>
      </c>
      <c r="O34" s="24">
        <f t="shared" si="3"/>
        <v>88</v>
      </c>
      <c r="P34" s="24">
        <f t="shared" si="3"/>
        <v>38</v>
      </c>
      <c r="Q34" s="24">
        <f t="shared" si="3"/>
        <v>171</v>
      </c>
      <c r="R34" s="24">
        <f t="shared" si="3"/>
        <v>85</v>
      </c>
      <c r="S34" s="24">
        <f t="shared" si="3"/>
        <v>59</v>
      </c>
      <c r="T34" s="24">
        <f t="shared" si="3"/>
        <v>58</v>
      </c>
      <c r="U34" s="24">
        <f t="shared" si="3"/>
        <v>78</v>
      </c>
      <c r="V34" s="24">
        <f t="shared" si="3"/>
        <v>64</v>
      </c>
      <c r="W34" s="24">
        <f t="shared" si="3"/>
        <v>43</v>
      </c>
      <c r="X34" s="24">
        <f t="shared" si="3"/>
        <v>23</v>
      </c>
      <c r="Y34" s="24">
        <f t="shared" si="3"/>
        <v>1149</v>
      </c>
    </row>
    <row r="35" spans="2:25" ht="15.75" thickBot="1" x14ac:dyDescent="0.3">
      <c r="B35" s="43"/>
      <c r="C35" s="48"/>
      <c r="E35" s="136" t="s">
        <v>37</v>
      </c>
      <c r="F35" s="137"/>
      <c r="G35" s="1">
        <f>F34-G34</f>
        <v>36260</v>
      </c>
      <c r="I35"/>
    </row>
    <row r="36" spans="2:25" ht="24" x14ac:dyDescent="0.25">
      <c r="B36" s="43"/>
      <c r="C36" s="48"/>
      <c r="J36" s="8" t="s">
        <v>22</v>
      </c>
      <c r="K36" s="8" t="s">
        <v>5</v>
      </c>
      <c r="L36" s="8" t="s">
        <v>13</v>
      </c>
      <c r="M36" s="8" t="s">
        <v>14</v>
      </c>
      <c r="N36" s="8" t="s">
        <v>15</v>
      </c>
      <c r="O36" s="8" t="s">
        <v>16</v>
      </c>
      <c r="P36" s="8" t="s">
        <v>17</v>
      </c>
      <c r="Q36" s="8" t="s">
        <v>23</v>
      </c>
      <c r="R36" s="8" t="s">
        <v>24</v>
      </c>
      <c r="S36" s="8" t="s">
        <v>26</v>
      </c>
      <c r="T36" s="8" t="s">
        <v>19</v>
      </c>
      <c r="U36" s="8" t="s">
        <v>20</v>
      </c>
      <c r="V36" s="8" t="s">
        <v>21</v>
      </c>
      <c r="W36" s="8" t="s">
        <v>36</v>
      </c>
      <c r="X36" s="8" t="s">
        <v>18</v>
      </c>
    </row>
    <row r="37" spans="2:25" ht="15.75" thickBot="1" x14ac:dyDescent="0.3">
      <c r="B37" s="43"/>
      <c r="C37" s="48"/>
      <c r="J37" s="9">
        <f>J34</f>
        <v>36</v>
      </c>
      <c r="K37" s="9">
        <f t="shared" ref="K37:X37" si="4">K34</f>
        <v>37</v>
      </c>
      <c r="L37" s="9">
        <f t="shared" si="4"/>
        <v>25</v>
      </c>
      <c r="M37" s="9">
        <f t="shared" si="4"/>
        <v>228</v>
      </c>
      <c r="N37" s="9">
        <f t="shared" si="4"/>
        <v>116</v>
      </c>
      <c r="O37" s="9">
        <f t="shared" si="4"/>
        <v>88</v>
      </c>
      <c r="P37" s="9">
        <f t="shared" si="4"/>
        <v>38</v>
      </c>
      <c r="Q37" s="9">
        <f t="shared" si="4"/>
        <v>171</v>
      </c>
      <c r="R37" s="9">
        <f t="shared" si="4"/>
        <v>85</v>
      </c>
      <c r="S37" s="9">
        <f t="shared" si="4"/>
        <v>59</v>
      </c>
      <c r="T37" s="9">
        <f t="shared" si="4"/>
        <v>58</v>
      </c>
      <c r="U37" s="9">
        <f t="shared" si="4"/>
        <v>78</v>
      </c>
      <c r="V37" s="9">
        <f t="shared" si="4"/>
        <v>64</v>
      </c>
      <c r="W37" s="9">
        <f t="shared" si="4"/>
        <v>43</v>
      </c>
      <c r="X37" s="9">
        <f t="shared" si="4"/>
        <v>23</v>
      </c>
    </row>
    <row r="38" spans="2:25" x14ac:dyDescent="0.25">
      <c r="B38" s="45"/>
      <c r="C38" s="45"/>
      <c r="I38" s="21"/>
      <c r="J38" s="10">
        <f>J34*'[3]Себестоимость '!D17</f>
        <v>335.1</v>
      </c>
      <c r="K38" s="10">
        <f>K34*'[3]Себестоимость '!E17</f>
        <v>306.8533333333333</v>
      </c>
      <c r="L38" s="10">
        <f>L34*'[3]Себестоимость '!F17</f>
        <v>221.95833333333334</v>
      </c>
      <c r="M38" s="10">
        <f>M34*'[3]Себестоимость '!G17</f>
        <v>2189.5599999999995</v>
      </c>
      <c r="N38" s="10">
        <f>N34*'[3]Себестоимость '!H17</f>
        <v>1057.0306666666665</v>
      </c>
      <c r="O38" s="10">
        <f>O34*'[3]Себестоимость '!I17</f>
        <v>318.85333333333335</v>
      </c>
      <c r="P38" s="10" t="e">
        <f>P34*'[3]Себестоимость '!J17</f>
        <v>#REF!</v>
      </c>
      <c r="Q38" s="10">
        <f>Q34*'[3]Себестоимость '!K17</f>
        <v>550.62</v>
      </c>
      <c r="R38" s="10">
        <f>R34*'[3]Себестоимость '!L17</f>
        <v>385.05</v>
      </c>
      <c r="S38" s="10">
        <f>S34*'[3]Себестоимость '!M17</f>
        <v>202.19300000000001</v>
      </c>
      <c r="T38" s="10">
        <f>T34*'[3]Себестоимость '!N17</f>
        <v>214.89000000000001</v>
      </c>
      <c r="U38" s="10">
        <f>U34*'[3]Себестоимость '!O17</f>
        <v>398.97</v>
      </c>
      <c r="V38" s="10">
        <f>V34*'[3]Себестоимость '!P17</f>
        <v>283.52</v>
      </c>
      <c r="W38" s="10">
        <f>W34*'[3]Себестоимость '!Q17</f>
        <v>209.19499999999996</v>
      </c>
      <c r="X38" s="10">
        <f>X34*'[3]Себестоимость '!R17</f>
        <v>108.675</v>
      </c>
      <c r="Y38" s="73" t="s">
        <v>30</v>
      </c>
    </row>
    <row r="39" spans="2:25" ht="15.75" thickBot="1" x14ac:dyDescent="0.3">
      <c r="B39" s="138"/>
      <c r="C39" s="138"/>
      <c r="Y39" s="74" t="s">
        <v>29</v>
      </c>
    </row>
    <row r="40" spans="2:25" x14ac:dyDescent="0.25">
      <c r="B40" s="46"/>
      <c r="C40" s="47"/>
    </row>
    <row r="41" spans="2:25" x14ac:dyDescent="0.25">
      <c r="B41" s="43"/>
      <c r="C41" s="48"/>
    </row>
    <row r="42" spans="2:25" x14ac:dyDescent="0.25">
      <c r="B42" s="45"/>
      <c r="C42" s="45"/>
    </row>
    <row r="43" spans="2:25" x14ac:dyDescent="0.25">
      <c r="B43" s="138"/>
      <c r="C43" s="138"/>
    </row>
    <row r="44" spans="2:25" x14ac:dyDescent="0.25">
      <c r="B44" s="33"/>
      <c r="C44" s="34"/>
    </row>
    <row r="45" spans="2:25" x14ac:dyDescent="0.25">
      <c r="B45" s="43"/>
      <c r="C45" s="44"/>
    </row>
  </sheetData>
  <mergeCells count="10">
    <mergeCell ref="A23:A28"/>
    <mergeCell ref="E35:F35"/>
    <mergeCell ref="B39:C39"/>
    <mergeCell ref="B43:C43"/>
    <mergeCell ref="A6:A16"/>
    <mergeCell ref="B1:C1"/>
    <mergeCell ref="E1:H1"/>
    <mergeCell ref="I1:I2"/>
    <mergeCell ref="Y1:Y2"/>
    <mergeCell ref="B2:C2"/>
  </mergeCells>
  <conditionalFormatting sqref="Y3:Y33">
    <cfRule type="cellIs" dxfId="58" priority="6" operator="equal">
      <formula>0</formula>
    </cfRule>
  </conditionalFormatting>
  <conditionalFormatting sqref="E3:E33">
    <cfRule type="cellIs" dxfId="57" priority="5" operator="equal">
      <formula>$Z$1</formula>
    </cfRule>
  </conditionalFormatting>
  <conditionalFormatting sqref="I3:I33">
    <cfRule type="cellIs" dxfId="56" priority="4" operator="equal">
      <formula>$Z$1</formula>
    </cfRule>
  </conditionalFormatting>
  <conditionalFormatting sqref="I34">
    <cfRule type="expression" dxfId="55" priority="3">
      <formula>$E$3:$E$32=TODAY()</formula>
    </cfRule>
  </conditionalFormatting>
  <conditionalFormatting sqref="I34">
    <cfRule type="cellIs" dxfId="54" priority="2" operator="equal">
      <formula>$Z$1</formula>
    </cfRule>
  </conditionalFormatting>
  <conditionalFormatting sqref="E28:F28 I28:Y28 E3:Y27 E29:Y33">
    <cfRule type="expression" dxfId="53" priority="7">
      <formula>$E3=$Z$1</formula>
    </cfRule>
  </conditionalFormatting>
  <conditionalFormatting sqref="G28:H28">
    <cfRule type="expression" dxfId="52" priority="1">
      <formula>$E28=$Z$1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Z45"/>
  <sheetViews>
    <sheetView zoomScale="85" zoomScaleNormal="85" workbookViewId="0">
      <pane ySplit="2" topLeftCell="A9" activePane="bottomLeft" state="frozen"/>
      <selection activeCell="C15" sqref="C15"/>
      <selection pane="bottomLeft" activeCell="B40" sqref="B40"/>
    </sheetView>
  </sheetViews>
  <sheetFormatPr defaultRowHeight="15" x14ac:dyDescent="0.25"/>
  <cols>
    <col min="1" max="1" width="6.5703125" customWidth="1"/>
    <col min="2" max="2" width="30.42578125" bestFit="1" customWidth="1"/>
    <col min="3" max="3" width="15.28515625" customWidth="1"/>
    <col min="5" max="5" width="8.42578125" bestFit="1" customWidth="1"/>
    <col min="6" max="6" width="12.7109375" bestFit="1" customWidth="1"/>
    <col min="7" max="7" width="12.140625" bestFit="1" customWidth="1"/>
    <col min="8" max="8" width="48.42578125" bestFit="1" customWidth="1"/>
    <col min="9" max="9" width="8.7109375" style="20" bestFit="1" customWidth="1"/>
    <col min="10" max="10" width="12.28515625" customWidth="1"/>
    <col min="11" max="11" width="11.28515625" customWidth="1"/>
    <col min="12" max="12" width="10.140625" customWidth="1"/>
    <col min="13" max="16" width="9.28515625" bestFit="1" customWidth="1"/>
    <col min="17" max="17" width="9.85546875" bestFit="1" customWidth="1"/>
    <col min="18" max="22" width="9.28515625" bestFit="1" customWidth="1"/>
    <col min="23" max="23" width="11" customWidth="1"/>
    <col min="24" max="24" width="10.5703125" bestFit="1" customWidth="1"/>
    <col min="25" max="25" width="9.7109375" style="5" customWidth="1"/>
    <col min="26" max="26" width="10.28515625" bestFit="1" customWidth="1"/>
    <col min="249" max="249" width="30.42578125" bestFit="1" customWidth="1"/>
    <col min="250" max="250" width="12.140625" customWidth="1"/>
    <col min="251" max="251" width="29.140625" bestFit="1" customWidth="1"/>
    <col min="252" max="252" width="12.5703125" customWidth="1"/>
    <col min="254" max="254" width="24" customWidth="1"/>
    <col min="255" max="255" width="22.28515625" customWidth="1"/>
    <col min="257" max="257" width="10.140625" bestFit="1" customWidth="1"/>
    <col min="258" max="258" width="12.7109375" bestFit="1" customWidth="1"/>
    <col min="259" max="259" width="12.140625" bestFit="1" customWidth="1"/>
    <col min="260" max="260" width="24.42578125" bestFit="1" customWidth="1"/>
    <col min="505" max="505" width="30.42578125" bestFit="1" customWidth="1"/>
    <col min="506" max="506" width="12.140625" customWidth="1"/>
    <col min="507" max="507" width="29.140625" bestFit="1" customWidth="1"/>
    <col min="508" max="508" width="12.5703125" customWidth="1"/>
    <col min="510" max="510" width="24" customWidth="1"/>
    <col min="511" max="511" width="22.28515625" customWidth="1"/>
    <col min="513" max="513" width="10.140625" bestFit="1" customWidth="1"/>
    <col min="514" max="514" width="12.7109375" bestFit="1" customWidth="1"/>
    <col min="515" max="515" width="12.140625" bestFit="1" customWidth="1"/>
    <col min="516" max="516" width="24.42578125" bestFit="1" customWidth="1"/>
    <col min="761" max="761" width="30.42578125" bestFit="1" customWidth="1"/>
    <col min="762" max="762" width="12.140625" customWidth="1"/>
    <col min="763" max="763" width="29.140625" bestFit="1" customWidth="1"/>
    <col min="764" max="764" width="12.5703125" customWidth="1"/>
    <col min="766" max="766" width="24" customWidth="1"/>
    <col min="767" max="767" width="22.28515625" customWidth="1"/>
    <col min="769" max="769" width="10.140625" bestFit="1" customWidth="1"/>
    <col min="770" max="770" width="12.7109375" bestFit="1" customWidth="1"/>
    <col min="771" max="771" width="12.140625" bestFit="1" customWidth="1"/>
    <col min="772" max="772" width="24.42578125" bestFit="1" customWidth="1"/>
    <col min="1017" max="1017" width="30.42578125" bestFit="1" customWidth="1"/>
    <col min="1018" max="1018" width="12.140625" customWidth="1"/>
    <col min="1019" max="1019" width="29.140625" bestFit="1" customWidth="1"/>
    <col min="1020" max="1020" width="12.5703125" customWidth="1"/>
    <col min="1022" max="1022" width="24" customWidth="1"/>
    <col min="1023" max="1023" width="22.28515625" customWidth="1"/>
    <col min="1025" max="1025" width="10.140625" bestFit="1" customWidth="1"/>
    <col min="1026" max="1026" width="12.7109375" bestFit="1" customWidth="1"/>
    <col min="1027" max="1027" width="12.140625" bestFit="1" customWidth="1"/>
    <col min="1028" max="1028" width="24.42578125" bestFit="1" customWidth="1"/>
    <col min="1273" max="1273" width="30.42578125" bestFit="1" customWidth="1"/>
    <col min="1274" max="1274" width="12.140625" customWidth="1"/>
    <col min="1275" max="1275" width="29.140625" bestFit="1" customWidth="1"/>
    <col min="1276" max="1276" width="12.5703125" customWidth="1"/>
    <col min="1278" max="1278" width="24" customWidth="1"/>
    <col min="1279" max="1279" width="22.28515625" customWidth="1"/>
    <col min="1281" max="1281" width="10.140625" bestFit="1" customWidth="1"/>
    <col min="1282" max="1282" width="12.7109375" bestFit="1" customWidth="1"/>
    <col min="1283" max="1283" width="12.140625" bestFit="1" customWidth="1"/>
    <col min="1284" max="1284" width="24.42578125" bestFit="1" customWidth="1"/>
    <col min="1529" max="1529" width="30.42578125" bestFit="1" customWidth="1"/>
    <col min="1530" max="1530" width="12.140625" customWidth="1"/>
    <col min="1531" max="1531" width="29.140625" bestFit="1" customWidth="1"/>
    <col min="1532" max="1532" width="12.5703125" customWidth="1"/>
    <col min="1534" max="1534" width="24" customWidth="1"/>
    <col min="1535" max="1535" width="22.28515625" customWidth="1"/>
    <col min="1537" max="1537" width="10.140625" bestFit="1" customWidth="1"/>
    <col min="1538" max="1538" width="12.7109375" bestFit="1" customWidth="1"/>
    <col min="1539" max="1539" width="12.140625" bestFit="1" customWidth="1"/>
    <col min="1540" max="1540" width="24.42578125" bestFit="1" customWidth="1"/>
    <col min="1785" max="1785" width="30.42578125" bestFit="1" customWidth="1"/>
    <col min="1786" max="1786" width="12.140625" customWidth="1"/>
    <col min="1787" max="1787" width="29.140625" bestFit="1" customWidth="1"/>
    <col min="1788" max="1788" width="12.5703125" customWidth="1"/>
    <col min="1790" max="1790" width="24" customWidth="1"/>
    <col min="1791" max="1791" width="22.28515625" customWidth="1"/>
    <col min="1793" max="1793" width="10.140625" bestFit="1" customWidth="1"/>
    <col min="1794" max="1794" width="12.7109375" bestFit="1" customWidth="1"/>
    <col min="1795" max="1795" width="12.140625" bestFit="1" customWidth="1"/>
    <col min="1796" max="1796" width="24.42578125" bestFit="1" customWidth="1"/>
    <col min="2041" max="2041" width="30.42578125" bestFit="1" customWidth="1"/>
    <col min="2042" max="2042" width="12.140625" customWidth="1"/>
    <col min="2043" max="2043" width="29.140625" bestFit="1" customWidth="1"/>
    <col min="2044" max="2044" width="12.5703125" customWidth="1"/>
    <col min="2046" max="2046" width="24" customWidth="1"/>
    <col min="2047" max="2047" width="22.28515625" customWidth="1"/>
    <col min="2049" max="2049" width="10.140625" bestFit="1" customWidth="1"/>
    <col min="2050" max="2050" width="12.7109375" bestFit="1" customWidth="1"/>
    <col min="2051" max="2051" width="12.140625" bestFit="1" customWidth="1"/>
    <col min="2052" max="2052" width="24.42578125" bestFit="1" customWidth="1"/>
    <col min="2297" max="2297" width="30.42578125" bestFit="1" customWidth="1"/>
    <col min="2298" max="2298" width="12.140625" customWidth="1"/>
    <col min="2299" max="2299" width="29.140625" bestFit="1" customWidth="1"/>
    <col min="2300" max="2300" width="12.5703125" customWidth="1"/>
    <col min="2302" max="2302" width="24" customWidth="1"/>
    <col min="2303" max="2303" width="22.28515625" customWidth="1"/>
    <col min="2305" max="2305" width="10.140625" bestFit="1" customWidth="1"/>
    <col min="2306" max="2306" width="12.7109375" bestFit="1" customWidth="1"/>
    <col min="2307" max="2307" width="12.140625" bestFit="1" customWidth="1"/>
    <col min="2308" max="2308" width="24.42578125" bestFit="1" customWidth="1"/>
    <col min="2553" max="2553" width="30.42578125" bestFit="1" customWidth="1"/>
    <col min="2554" max="2554" width="12.140625" customWidth="1"/>
    <col min="2555" max="2555" width="29.140625" bestFit="1" customWidth="1"/>
    <col min="2556" max="2556" width="12.5703125" customWidth="1"/>
    <col min="2558" max="2558" width="24" customWidth="1"/>
    <col min="2559" max="2559" width="22.28515625" customWidth="1"/>
    <col min="2561" max="2561" width="10.140625" bestFit="1" customWidth="1"/>
    <col min="2562" max="2562" width="12.7109375" bestFit="1" customWidth="1"/>
    <col min="2563" max="2563" width="12.140625" bestFit="1" customWidth="1"/>
    <col min="2564" max="2564" width="24.42578125" bestFit="1" customWidth="1"/>
    <col min="2809" max="2809" width="30.42578125" bestFit="1" customWidth="1"/>
    <col min="2810" max="2810" width="12.140625" customWidth="1"/>
    <col min="2811" max="2811" width="29.140625" bestFit="1" customWidth="1"/>
    <col min="2812" max="2812" width="12.5703125" customWidth="1"/>
    <col min="2814" max="2814" width="24" customWidth="1"/>
    <col min="2815" max="2815" width="22.28515625" customWidth="1"/>
    <col min="2817" max="2817" width="10.140625" bestFit="1" customWidth="1"/>
    <col min="2818" max="2818" width="12.7109375" bestFit="1" customWidth="1"/>
    <col min="2819" max="2819" width="12.140625" bestFit="1" customWidth="1"/>
    <col min="2820" max="2820" width="24.42578125" bestFit="1" customWidth="1"/>
    <col min="3065" max="3065" width="30.42578125" bestFit="1" customWidth="1"/>
    <col min="3066" max="3066" width="12.140625" customWidth="1"/>
    <col min="3067" max="3067" width="29.140625" bestFit="1" customWidth="1"/>
    <col min="3068" max="3068" width="12.5703125" customWidth="1"/>
    <col min="3070" max="3070" width="24" customWidth="1"/>
    <col min="3071" max="3071" width="22.28515625" customWidth="1"/>
    <col min="3073" max="3073" width="10.140625" bestFit="1" customWidth="1"/>
    <col min="3074" max="3074" width="12.7109375" bestFit="1" customWidth="1"/>
    <col min="3075" max="3075" width="12.140625" bestFit="1" customWidth="1"/>
    <col min="3076" max="3076" width="24.42578125" bestFit="1" customWidth="1"/>
    <col min="3321" max="3321" width="30.42578125" bestFit="1" customWidth="1"/>
    <col min="3322" max="3322" width="12.140625" customWidth="1"/>
    <col min="3323" max="3323" width="29.140625" bestFit="1" customWidth="1"/>
    <col min="3324" max="3324" width="12.5703125" customWidth="1"/>
    <col min="3326" max="3326" width="24" customWidth="1"/>
    <col min="3327" max="3327" width="22.28515625" customWidth="1"/>
    <col min="3329" max="3329" width="10.140625" bestFit="1" customWidth="1"/>
    <col min="3330" max="3330" width="12.7109375" bestFit="1" customWidth="1"/>
    <col min="3331" max="3331" width="12.140625" bestFit="1" customWidth="1"/>
    <col min="3332" max="3332" width="24.42578125" bestFit="1" customWidth="1"/>
    <col min="3577" max="3577" width="30.42578125" bestFit="1" customWidth="1"/>
    <col min="3578" max="3578" width="12.140625" customWidth="1"/>
    <col min="3579" max="3579" width="29.140625" bestFit="1" customWidth="1"/>
    <col min="3580" max="3580" width="12.5703125" customWidth="1"/>
    <col min="3582" max="3582" width="24" customWidth="1"/>
    <col min="3583" max="3583" width="22.28515625" customWidth="1"/>
    <col min="3585" max="3585" width="10.140625" bestFit="1" customWidth="1"/>
    <col min="3586" max="3586" width="12.7109375" bestFit="1" customWidth="1"/>
    <col min="3587" max="3587" width="12.140625" bestFit="1" customWidth="1"/>
    <col min="3588" max="3588" width="24.42578125" bestFit="1" customWidth="1"/>
    <col min="3833" max="3833" width="30.42578125" bestFit="1" customWidth="1"/>
    <col min="3834" max="3834" width="12.140625" customWidth="1"/>
    <col min="3835" max="3835" width="29.140625" bestFit="1" customWidth="1"/>
    <col min="3836" max="3836" width="12.5703125" customWidth="1"/>
    <col min="3838" max="3838" width="24" customWidth="1"/>
    <col min="3839" max="3839" width="22.28515625" customWidth="1"/>
    <col min="3841" max="3841" width="10.140625" bestFit="1" customWidth="1"/>
    <col min="3842" max="3842" width="12.7109375" bestFit="1" customWidth="1"/>
    <col min="3843" max="3843" width="12.140625" bestFit="1" customWidth="1"/>
    <col min="3844" max="3844" width="24.42578125" bestFit="1" customWidth="1"/>
    <col min="4089" max="4089" width="30.42578125" bestFit="1" customWidth="1"/>
    <col min="4090" max="4090" width="12.140625" customWidth="1"/>
    <col min="4091" max="4091" width="29.140625" bestFit="1" customWidth="1"/>
    <col min="4092" max="4092" width="12.5703125" customWidth="1"/>
    <col min="4094" max="4094" width="24" customWidth="1"/>
    <col min="4095" max="4095" width="22.28515625" customWidth="1"/>
    <col min="4097" max="4097" width="10.140625" bestFit="1" customWidth="1"/>
    <col min="4098" max="4098" width="12.7109375" bestFit="1" customWidth="1"/>
    <col min="4099" max="4099" width="12.140625" bestFit="1" customWidth="1"/>
    <col min="4100" max="4100" width="24.42578125" bestFit="1" customWidth="1"/>
    <col min="4345" max="4345" width="30.42578125" bestFit="1" customWidth="1"/>
    <col min="4346" max="4346" width="12.140625" customWidth="1"/>
    <col min="4347" max="4347" width="29.140625" bestFit="1" customWidth="1"/>
    <col min="4348" max="4348" width="12.5703125" customWidth="1"/>
    <col min="4350" max="4350" width="24" customWidth="1"/>
    <col min="4351" max="4351" width="22.28515625" customWidth="1"/>
    <col min="4353" max="4353" width="10.140625" bestFit="1" customWidth="1"/>
    <col min="4354" max="4354" width="12.7109375" bestFit="1" customWidth="1"/>
    <col min="4355" max="4355" width="12.140625" bestFit="1" customWidth="1"/>
    <col min="4356" max="4356" width="24.42578125" bestFit="1" customWidth="1"/>
    <col min="4601" max="4601" width="30.42578125" bestFit="1" customWidth="1"/>
    <col min="4602" max="4602" width="12.140625" customWidth="1"/>
    <col min="4603" max="4603" width="29.140625" bestFit="1" customWidth="1"/>
    <col min="4604" max="4604" width="12.5703125" customWidth="1"/>
    <col min="4606" max="4606" width="24" customWidth="1"/>
    <col min="4607" max="4607" width="22.28515625" customWidth="1"/>
    <col min="4609" max="4609" width="10.140625" bestFit="1" customWidth="1"/>
    <col min="4610" max="4610" width="12.7109375" bestFit="1" customWidth="1"/>
    <col min="4611" max="4611" width="12.140625" bestFit="1" customWidth="1"/>
    <col min="4612" max="4612" width="24.42578125" bestFit="1" customWidth="1"/>
    <col min="4857" max="4857" width="30.42578125" bestFit="1" customWidth="1"/>
    <col min="4858" max="4858" width="12.140625" customWidth="1"/>
    <col min="4859" max="4859" width="29.140625" bestFit="1" customWidth="1"/>
    <col min="4860" max="4860" width="12.5703125" customWidth="1"/>
    <col min="4862" max="4862" width="24" customWidth="1"/>
    <col min="4863" max="4863" width="22.28515625" customWidth="1"/>
    <col min="4865" max="4865" width="10.140625" bestFit="1" customWidth="1"/>
    <col min="4866" max="4866" width="12.7109375" bestFit="1" customWidth="1"/>
    <col min="4867" max="4867" width="12.140625" bestFit="1" customWidth="1"/>
    <col min="4868" max="4868" width="24.42578125" bestFit="1" customWidth="1"/>
    <col min="5113" max="5113" width="30.42578125" bestFit="1" customWidth="1"/>
    <col min="5114" max="5114" width="12.140625" customWidth="1"/>
    <col min="5115" max="5115" width="29.140625" bestFit="1" customWidth="1"/>
    <col min="5116" max="5116" width="12.5703125" customWidth="1"/>
    <col min="5118" max="5118" width="24" customWidth="1"/>
    <col min="5119" max="5119" width="22.28515625" customWidth="1"/>
    <col min="5121" max="5121" width="10.140625" bestFit="1" customWidth="1"/>
    <col min="5122" max="5122" width="12.7109375" bestFit="1" customWidth="1"/>
    <col min="5123" max="5123" width="12.140625" bestFit="1" customWidth="1"/>
    <col min="5124" max="5124" width="24.42578125" bestFit="1" customWidth="1"/>
    <col min="5369" max="5369" width="30.42578125" bestFit="1" customWidth="1"/>
    <col min="5370" max="5370" width="12.140625" customWidth="1"/>
    <col min="5371" max="5371" width="29.140625" bestFit="1" customWidth="1"/>
    <col min="5372" max="5372" width="12.5703125" customWidth="1"/>
    <col min="5374" max="5374" width="24" customWidth="1"/>
    <col min="5375" max="5375" width="22.28515625" customWidth="1"/>
    <col min="5377" max="5377" width="10.140625" bestFit="1" customWidth="1"/>
    <col min="5378" max="5378" width="12.7109375" bestFit="1" customWidth="1"/>
    <col min="5379" max="5379" width="12.140625" bestFit="1" customWidth="1"/>
    <col min="5380" max="5380" width="24.42578125" bestFit="1" customWidth="1"/>
    <col min="5625" max="5625" width="30.42578125" bestFit="1" customWidth="1"/>
    <col min="5626" max="5626" width="12.140625" customWidth="1"/>
    <col min="5627" max="5627" width="29.140625" bestFit="1" customWidth="1"/>
    <col min="5628" max="5628" width="12.5703125" customWidth="1"/>
    <col min="5630" max="5630" width="24" customWidth="1"/>
    <col min="5631" max="5631" width="22.28515625" customWidth="1"/>
    <col min="5633" max="5633" width="10.140625" bestFit="1" customWidth="1"/>
    <col min="5634" max="5634" width="12.7109375" bestFit="1" customWidth="1"/>
    <col min="5635" max="5635" width="12.140625" bestFit="1" customWidth="1"/>
    <col min="5636" max="5636" width="24.42578125" bestFit="1" customWidth="1"/>
    <col min="5881" max="5881" width="30.42578125" bestFit="1" customWidth="1"/>
    <col min="5882" max="5882" width="12.140625" customWidth="1"/>
    <col min="5883" max="5883" width="29.140625" bestFit="1" customWidth="1"/>
    <col min="5884" max="5884" width="12.5703125" customWidth="1"/>
    <col min="5886" max="5886" width="24" customWidth="1"/>
    <col min="5887" max="5887" width="22.28515625" customWidth="1"/>
    <col min="5889" max="5889" width="10.140625" bestFit="1" customWidth="1"/>
    <col min="5890" max="5890" width="12.7109375" bestFit="1" customWidth="1"/>
    <col min="5891" max="5891" width="12.140625" bestFit="1" customWidth="1"/>
    <col min="5892" max="5892" width="24.42578125" bestFit="1" customWidth="1"/>
    <col min="6137" max="6137" width="30.42578125" bestFit="1" customWidth="1"/>
    <col min="6138" max="6138" width="12.140625" customWidth="1"/>
    <col min="6139" max="6139" width="29.140625" bestFit="1" customWidth="1"/>
    <col min="6140" max="6140" width="12.5703125" customWidth="1"/>
    <col min="6142" max="6142" width="24" customWidth="1"/>
    <col min="6143" max="6143" width="22.28515625" customWidth="1"/>
    <col min="6145" max="6145" width="10.140625" bestFit="1" customWidth="1"/>
    <col min="6146" max="6146" width="12.7109375" bestFit="1" customWidth="1"/>
    <col min="6147" max="6147" width="12.140625" bestFit="1" customWidth="1"/>
    <col min="6148" max="6148" width="24.42578125" bestFit="1" customWidth="1"/>
    <col min="6393" max="6393" width="30.42578125" bestFit="1" customWidth="1"/>
    <col min="6394" max="6394" width="12.140625" customWidth="1"/>
    <col min="6395" max="6395" width="29.140625" bestFit="1" customWidth="1"/>
    <col min="6396" max="6396" width="12.5703125" customWidth="1"/>
    <col min="6398" max="6398" width="24" customWidth="1"/>
    <col min="6399" max="6399" width="22.28515625" customWidth="1"/>
    <col min="6401" max="6401" width="10.140625" bestFit="1" customWidth="1"/>
    <col min="6402" max="6402" width="12.7109375" bestFit="1" customWidth="1"/>
    <col min="6403" max="6403" width="12.140625" bestFit="1" customWidth="1"/>
    <col min="6404" max="6404" width="24.42578125" bestFit="1" customWidth="1"/>
    <col min="6649" max="6649" width="30.42578125" bestFit="1" customWidth="1"/>
    <col min="6650" max="6650" width="12.140625" customWidth="1"/>
    <col min="6651" max="6651" width="29.140625" bestFit="1" customWidth="1"/>
    <col min="6652" max="6652" width="12.5703125" customWidth="1"/>
    <col min="6654" max="6654" width="24" customWidth="1"/>
    <col min="6655" max="6655" width="22.28515625" customWidth="1"/>
    <col min="6657" max="6657" width="10.140625" bestFit="1" customWidth="1"/>
    <col min="6658" max="6658" width="12.7109375" bestFit="1" customWidth="1"/>
    <col min="6659" max="6659" width="12.140625" bestFit="1" customWidth="1"/>
    <col min="6660" max="6660" width="24.42578125" bestFit="1" customWidth="1"/>
    <col min="6905" max="6905" width="30.42578125" bestFit="1" customWidth="1"/>
    <col min="6906" max="6906" width="12.140625" customWidth="1"/>
    <col min="6907" max="6907" width="29.140625" bestFit="1" customWidth="1"/>
    <col min="6908" max="6908" width="12.5703125" customWidth="1"/>
    <col min="6910" max="6910" width="24" customWidth="1"/>
    <col min="6911" max="6911" width="22.28515625" customWidth="1"/>
    <col min="6913" max="6913" width="10.140625" bestFit="1" customWidth="1"/>
    <col min="6914" max="6914" width="12.7109375" bestFit="1" customWidth="1"/>
    <col min="6915" max="6915" width="12.140625" bestFit="1" customWidth="1"/>
    <col min="6916" max="6916" width="24.42578125" bestFit="1" customWidth="1"/>
    <col min="7161" max="7161" width="30.42578125" bestFit="1" customWidth="1"/>
    <col min="7162" max="7162" width="12.140625" customWidth="1"/>
    <col min="7163" max="7163" width="29.140625" bestFit="1" customWidth="1"/>
    <col min="7164" max="7164" width="12.5703125" customWidth="1"/>
    <col min="7166" max="7166" width="24" customWidth="1"/>
    <col min="7167" max="7167" width="22.28515625" customWidth="1"/>
    <col min="7169" max="7169" width="10.140625" bestFit="1" customWidth="1"/>
    <col min="7170" max="7170" width="12.7109375" bestFit="1" customWidth="1"/>
    <col min="7171" max="7171" width="12.140625" bestFit="1" customWidth="1"/>
    <col min="7172" max="7172" width="24.42578125" bestFit="1" customWidth="1"/>
    <col min="7417" max="7417" width="30.42578125" bestFit="1" customWidth="1"/>
    <col min="7418" max="7418" width="12.140625" customWidth="1"/>
    <col min="7419" max="7419" width="29.140625" bestFit="1" customWidth="1"/>
    <col min="7420" max="7420" width="12.5703125" customWidth="1"/>
    <col min="7422" max="7422" width="24" customWidth="1"/>
    <col min="7423" max="7423" width="22.28515625" customWidth="1"/>
    <col min="7425" max="7425" width="10.140625" bestFit="1" customWidth="1"/>
    <col min="7426" max="7426" width="12.7109375" bestFit="1" customWidth="1"/>
    <col min="7427" max="7427" width="12.140625" bestFit="1" customWidth="1"/>
    <col min="7428" max="7428" width="24.42578125" bestFit="1" customWidth="1"/>
    <col min="7673" max="7673" width="30.42578125" bestFit="1" customWidth="1"/>
    <col min="7674" max="7674" width="12.140625" customWidth="1"/>
    <col min="7675" max="7675" width="29.140625" bestFit="1" customWidth="1"/>
    <col min="7676" max="7676" width="12.5703125" customWidth="1"/>
    <col min="7678" max="7678" width="24" customWidth="1"/>
    <col min="7679" max="7679" width="22.28515625" customWidth="1"/>
    <col min="7681" max="7681" width="10.140625" bestFit="1" customWidth="1"/>
    <col min="7682" max="7682" width="12.7109375" bestFit="1" customWidth="1"/>
    <col min="7683" max="7683" width="12.140625" bestFit="1" customWidth="1"/>
    <col min="7684" max="7684" width="24.42578125" bestFit="1" customWidth="1"/>
    <col min="7929" max="7929" width="30.42578125" bestFit="1" customWidth="1"/>
    <col min="7930" max="7930" width="12.140625" customWidth="1"/>
    <col min="7931" max="7931" width="29.140625" bestFit="1" customWidth="1"/>
    <col min="7932" max="7932" width="12.5703125" customWidth="1"/>
    <col min="7934" max="7934" width="24" customWidth="1"/>
    <col min="7935" max="7935" width="22.28515625" customWidth="1"/>
    <col min="7937" max="7937" width="10.140625" bestFit="1" customWidth="1"/>
    <col min="7938" max="7938" width="12.7109375" bestFit="1" customWidth="1"/>
    <col min="7939" max="7939" width="12.140625" bestFit="1" customWidth="1"/>
    <col min="7940" max="7940" width="24.42578125" bestFit="1" customWidth="1"/>
    <col min="8185" max="8185" width="30.42578125" bestFit="1" customWidth="1"/>
    <col min="8186" max="8186" width="12.140625" customWidth="1"/>
    <col min="8187" max="8187" width="29.140625" bestFit="1" customWidth="1"/>
    <col min="8188" max="8188" width="12.5703125" customWidth="1"/>
    <col min="8190" max="8190" width="24" customWidth="1"/>
    <col min="8191" max="8191" width="22.28515625" customWidth="1"/>
    <col min="8193" max="8193" width="10.140625" bestFit="1" customWidth="1"/>
    <col min="8194" max="8194" width="12.7109375" bestFit="1" customWidth="1"/>
    <col min="8195" max="8195" width="12.140625" bestFit="1" customWidth="1"/>
    <col min="8196" max="8196" width="24.42578125" bestFit="1" customWidth="1"/>
    <col min="8441" max="8441" width="30.42578125" bestFit="1" customWidth="1"/>
    <col min="8442" max="8442" width="12.140625" customWidth="1"/>
    <col min="8443" max="8443" width="29.140625" bestFit="1" customWidth="1"/>
    <col min="8444" max="8444" width="12.5703125" customWidth="1"/>
    <col min="8446" max="8446" width="24" customWidth="1"/>
    <col min="8447" max="8447" width="22.28515625" customWidth="1"/>
    <col min="8449" max="8449" width="10.140625" bestFit="1" customWidth="1"/>
    <col min="8450" max="8450" width="12.7109375" bestFit="1" customWidth="1"/>
    <col min="8451" max="8451" width="12.140625" bestFit="1" customWidth="1"/>
    <col min="8452" max="8452" width="24.42578125" bestFit="1" customWidth="1"/>
    <col min="8697" max="8697" width="30.42578125" bestFit="1" customWidth="1"/>
    <col min="8698" max="8698" width="12.140625" customWidth="1"/>
    <col min="8699" max="8699" width="29.140625" bestFit="1" customWidth="1"/>
    <col min="8700" max="8700" width="12.5703125" customWidth="1"/>
    <col min="8702" max="8702" width="24" customWidth="1"/>
    <col min="8703" max="8703" width="22.28515625" customWidth="1"/>
    <col min="8705" max="8705" width="10.140625" bestFit="1" customWidth="1"/>
    <col min="8706" max="8706" width="12.7109375" bestFit="1" customWidth="1"/>
    <col min="8707" max="8707" width="12.140625" bestFit="1" customWidth="1"/>
    <col min="8708" max="8708" width="24.42578125" bestFit="1" customWidth="1"/>
    <col min="8953" max="8953" width="30.42578125" bestFit="1" customWidth="1"/>
    <col min="8954" max="8954" width="12.140625" customWidth="1"/>
    <col min="8955" max="8955" width="29.140625" bestFit="1" customWidth="1"/>
    <col min="8956" max="8956" width="12.5703125" customWidth="1"/>
    <col min="8958" max="8958" width="24" customWidth="1"/>
    <col min="8959" max="8959" width="22.28515625" customWidth="1"/>
    <col min="8961" max="8961" width="10.140625" bestFit="1" customWidth="1"/>
    <col min="8962" max="8962" width="12.7109375" bestFit="1" customWidth="1"/>
    <col min="8963" max="8963" width="12.140625" bestFit="1" customWidth="1"/>
    <col min="8964" max="8964" width="24.42578125" bestFit="1" customWidth="1"/>
    <col min="9209" max="9209" width="30.42578125" bestFit="1" customWidth="1"/>
    <col min="9210" max="9210" width="12.140625" customWidth="1"/>
    <col min="9211" max="9211" width="29.140625" bestFit="1" customWidth="1"/>
    <col min="9212" max="9212" width="12.5703125" customWidth="1"/>
    <col min="9214" max="9214" width="24" customWidth="1"/>
    <col min="9215" max="9215" width="22.28515625" customWidth="1"/>
    <col min="9217" max="9217" width="10.140625" bestFit="1" customWidth="1"/>
    <col min="9218" max="9218" width="12.7109375" bestFit="1" customWidth="1"/>
    <col min="9219" max="9219" width="12.140625" bestFit="1" customWidth="1"/>
    <col min="9220" max="9220" width="24.42578125" bestFit="1" customWidth="1"/>
    <col min="9465" max="9465" width="30.42578125" bestFit="1" customWidth="1"/>
    <col min="9466" max="9466" width="12.140625" customWidth="1"/>
    <col min="9467" max="9467" width="29.140625" bestFit="1" customWidth="1"/>
    <col min="9468" max="9468" width="12.5703125" customWidth="1"/>
    <col min="9470" max="9470" width="24" customWidth="1"/>
    <col min="9471" max="9471" width="22.28515625" customWidth="1"/>
    <col min="9473" max="9473" width="10.140625" bestFit="1" customWidth="1"/>
    <col min="9474" max="9474" width="12.7109375" bestFit="1" customWidth="1"/>
    <col min="9475" max="9475" width="12.140625" bestFit="1" customWidth="1"/>
    <col min="9476" max="9476" width="24.42578125" bestFit="1" customWidth="1"/>
    <col min="9721" max="9721" width="30.42578125" bestFit="1" customWidth="1"/>
    <col min="9722" max="9722" width="12.140625" customWidth="1"/>
    <col min="9723" max="9723" width="29.140625" bestFit="1" customWidth="1"/>
    <col min="9724" max="9724" width="12.5703125" customWidth="1"/>
    <col min="9726" max="9726" width="24" customWidth="1"/>
    <col min="9727" max="9727" width="22.28515625" customWidth="1"/>
    <col min="9729" max="9729" width="10.140625" bestFit="1" customWidth="1"/>
    <col min="9730" max="9730" width="12.7109375" bestFit="1" customWidth="1"/>
    <col min="9731" max="9731" width="12.140625" bestFit="1" customWidth="1"/>
    <col min="9732" max="9732" width="24.42578125" bestFit="1" customWidth="1"/>
    <col min="9977" max="9977" width="30.42578125" bestFit="1" customWidth="1"/>
    <col min="9978" max="9978" width="12.140625" customWidth="1"/>
    <col min="9979" max="9979" width="29.140625" bestFit="1" customWidth="1"/>
    <col min="9980" max="9980" width="12.5703125" customWidth="1"/>
    <col min="9982" max="9982" width="24" customWidth="1"/>
    <col min="9983" max="9983" width="22.28515625" customWidth="1"/>
    <col min="9985" max="9985" width="10.140625" bestFit="1" customWidth="1"/>
    <col min="9986" max="9986" width="12.7109375" bestFit="1" customWidth="1"/>
    <col min="9987" max="9987" width="12.140625" bestFit="1" customWidth="1"/>
    <col min="9988" max="9988" width="24.42578125" bestFit="1" customWidth="1"/>
    <col min="10233" max="10233" width="30.42578125" bestFit="1" customWidth="1"/>
    <col min="10234" max="10234" width="12.140625" customWidth="1"/>
    <col min="10235" max="10235" width="29.140625" bestFit="1" customWidth="1"/>
    <col min="10236" max="10236" width="12.5703125" customWidth="1"/>
    <col min="10238" max="10238" width="24" customWidth="1"/>
    <col min="10239" max="10239" width="22.28515625" customWidth="1"/>
    <col min="10241" max="10241" width="10.140625" bestFit="1" customWidth="1"/>
    <col min="10242" max="10242" width="12.7109375" bestFit="1" customWidth="1"/>
    <col min="10243" max="10243" width="12.140625" bestFit="1" customWidth="1"/>
    <col min="10244" max="10244" width="24.42578125" bestFit="1" customWidth="1"/>
    <col min="10489" max="10489" width="30.42578125" bestFit="1" customWidth="1"/>
    <col min="10490" max="10490" width="12.140625" customWidth="1"/>
    <col min="10491" max="10491" width="29.140625" bestFit="1" customWidth="1"/>
    <col min="10492" max="10492" width="12.5703125" customWidth="1"/>
    <col min="10494" max="10494" width="24" customWidth="1"/>
    <col min="10495" max="10495" width="22.28515625" customWidth="1"/>
    <col min="10497" max="10497" width="10.140625" bestFit="1" customWidth="1"/>
    <col min="10498" max="10498" width="12.7109375" bestFit="1" customWidth="1"/>
    <col min="10499" max="10499" width="12.140625" bestFit="1" customWidth="1"/>
    <col min="10500" max="10500" width="24.42578125" bestFit="1" customWidth="1"/>
    <col min="10745" max="10745" width="30.42578125" bestFit="1" customWidth="1"/>
    <col min="10746" max="10746" width="12.140625" customWidth="1"/>
    <col min="10747" max="10747" width="29.140625" bestFit="1" customWidth="1"/>
    <col min="10748" max="10748" width="12.5703125" customWidth="1"/>
    <col min="10750" max="10750" width="24" customWidth="1"/>
    <col min="10751" max="10751" width="22.28515625" customWidth="1"/>
    <col min="10753" max="10753" width="10.140625" bestFit="1" customWidth="1"/>
    <col min="10754" max="10754" width="12.7109375" bestFit="1" customWidth="1"/>
    <col min="10755" max="10755" width="12.140625" bestFit="1" customWidth="1"/>
    <col min="10756" max="10756" width="24.42578125" bestFit="1" customWidth="1"/>
    <col min="11001" max="11001" width="30.42578125" bestFit="1" customWidth="1"/>
    <col min="11002" max="11002" width="12.140625" customWidth="1"/>
    <col min="11003" max="11003" width="29.140625" bestFit="1" customWidth="1"/>
    <col min="11004" max="11004" width="12.5703125" customWidth="1"/>
    <col min="11006" max="11006" width="24" customWidth="1"/>
    <col min="11007" max="11007" width="22.28515625" customWidth="1"/>
    <col min="11009" max="11009" width="10.140625" bestFit="1" customWidth="1"/>
    <col min="11010" max="11010" width="12.7109375" bestFit="1" customWidth="1"/>
    <col min="11011" max="11011" width="12.140625" bestFit="1" customWidth="1"/>
    <col min="11012" max="11012" width="24.42578125" bestFit="1" customWidth="1"/>
    <col min="11257" max="11257" width="30.42578125" bestFit="1" customWidth="1"/>
    <col min="11258" max="11258" width="12.140625" customWidth="1"/>
    <col min="11259" max="11259" width="29.140625" bestFit="1" customWidth="1"/>
    <col min="11260" max="11260" width="12.5703125" customWidth="1"/>
    <col min="11262" max="11262" width="24" customWidth="1"/>
    <col min="11263" max="11263" width="22.28515625" customWidth="1"/>
    <col min="11265" max="11265" width="10.140625" bestFit="1" customWidth="1"/>
    <col min="11266" max="11266" width="12.7109375" bestFit="1" customWidth="1"/>
    <col min="11267" max="11267" width="12.140625" bestFit="1" customWidth="1"/>
    <col min="11268" max="11268" width="24.42578125" bestFit="1" customWidth="1"/>
    <col min="11513" max="11513" width="30.42578125" bestFit="1" customWidth="1"/>
    <col min="11514" max="11514" width="12.140625" customWidth="1"/>
    <col min="11515" max="11515" width="29.140625" bestFit="1" customWidth="1"/>
    <col min="11516" max="11516" width="12.5703125" customWidth="1"/>
    <col min="11518" max="11518" width="24" customWidth="1"/>
    <col min="11519" max="11519" width="22.28515625" customWidth="1"/>
    <col min="11521" max="11521" width="10.140625" bestFit="1" customWidth="1"/>
    <col min="11522" max="11522" width="12.7109375" bestFit="1" customWidth="1"/>
    <col min="11523" max="11523" width="12.140625" bestFit="1" customWidth="1"/>
    <col min="11524" max="11524" width="24.42578125" bestFit="1" customWidth="1"/>
    <col min="11769" max="11769" width="30.42578125" bestFit="1" customWidth="1"/>
    <col min="11770" max="11770" width="12.140625" customWidth="1"/>
    <col min="11771" max="11771" width="29.140625" bestFit="1" customWidth="1"/>
    <col min="11772" max="11772" width="12.5703125" customWidth="1"/>
    <col min="11774" max="11774" width="24" customWidth="1"/>
    <col min="11775" max="11775" width="22.28515625" customWidth="1"/>
    <col min="11777" max="11777" width="10.140625" bestFit="1" customWidth="1"/>
    <col min="11778" max="11778" width="12.7109375" bestFit="1" customWidth="1"/>
    <col min="11779" max="11779" width="12.140625" bestFit="1" customWidth="1"/>
    <col min="11780" max="11780" width="24.42578125" bestFit="1" customWidth="1"/>
    <col min="12025" max="12025" width="30.42578125" bestFit="1" customWidth="1"/>
    <col min="12026" max="12026" width="12.140625" customWidth="1"/>
    <col min="12027" max="12027" width="29.140625" bestFit="1" customWidth="1"/>
    <col min="12028" max="12028" width="12.5703125" customWidth="1"/>
    <col min="12030" max="12030" width="24" customWidth="1"/>
    <col min="12031" max="12031" width="22.28515625" customWidth="1"/>
    <col min="12033" max="12033" width="10.140625" bestFit="1" customWidth="1"/>
    <col min="12034" max="12034" width="12.7109375" bestFit="1" customWidth="1"/>
    <col min="12035" max="12035" width="12.140625" bestFit="1" customWidth="1"/>
    <col min="12036" max="12036" width="24.42578125" bestFit="1" customWidth="1"/>
    <col min="12281" max="12281" width="30.42578125" bestFit="1" customWidth="1"/>
    <col min="12282" max="12282" width="12.140625" customWidth="1"/>
    <col min="12283" max="12283" width="29.140625" bestFit="1" customWidth="1"/>
    <col min="12284" max="12284" width="12.5703125" customWidth="1"/>
    <col min="12286" max="12286" width="24" customWidth="1"/>
    <col min="12287" max="12287" width="22.28515625" customWidth="1"/>
    <col min="12289" max="12289" width="10.140625" bestFit="1" customWidth="1"/>
    <col min="12290" max="12290" width="12.7109375" bestFit="1" customWidth="1"/>
    <col min="12291" max="12291" width="12.140625" bestFit="1" customWidth="1"/>
    <col min="12292" max="12292" width="24.42578125" bestFit="1" customWidth="1"/>
    <col min="12537" max="12537" width="30.42578125" bestFit="1" customWidth="1"/>
    <col min="12538" max="12538" width="12.140625" customWidth="1"/>
    <col min="12539" max="12539" width="29.140625" bestFit="1" customWidth="1"/>
    <col min="12540" max="12540" width="12.5703125" customWidth="1"/>
    <col min="12542" max="12542" width="24" customWidth="1"/>
    <col min="12543" max="12543" width="22.28515625" customWidth="1"/>
    <col min="12545" max="12545" width="10.140625" bestFit="1" customWidth="1"/>
    <col min="12546" max="12546" width="12.7109375" bestFit="1" customWidth="1"/>
    <col min="12547" max="12547" width="12.140625" bestFit="1" customWidth="1"/>
    <col min="12548" max="12548" width="24.42578125" bestFit="1" customWidth="1"/>
    <col min="12793" max="12793" width="30.42578125" bestFit="1" customWidth="1"/>
    <col min="12794" max="12794" width="12.140625" customWidth="1"/>
    <col min="12795" max="12795" width="29.140625" bestFit="1" customWidth="1"/>
    <col min="12796" max="12796" width="12.5703125" customWidth="1"/>
    <col min="12798" max="12798" width="24" customWidth="1"/>
    <col min="12799" max="12799" width="22.28515625" customWidth="1"/>
    <col min="12801" max="12801" width="10.140625" bestFit="1" customWidth="1"/>
    <col min="12802" max="12802" width="12.7109375" bestFit="1" customWidth="1"/>
    <col min="12803" max="12803" width="12.140625" bestFit="1" customWidth="1"/>
    <col min="12804" max="12804" width="24.42578125" bestFit="1" customWidth="1"/>
    <col min="13049" max="13049" width="30.42578125" bestFit="1" customWidth="1"/>
    <col min="13050" max="13050" width="12.140625" customWidth="1"/>
    <col min="13051" max="13051" width="29.140625" bestFit="1" customWidth="1"/>
    <col min="13052" max="13052" width="12.5703125" customWidth="1"/>
    <col min="13054" max="13054" width="24" customWidth="1"/>
    <col min="13055" max="13055" width="22.28515625" customWidth="1"/>
    <col min="13057" max="13057" width="10.140625" bestFit="1" customWidth="1"/>
    <col min="13058" max="13058" width="12.7109375" bestFit="1" customWidth="1"/>
    <col min="13059" max="13059" width="12.140625" bestFit="1" customWidth="1"/>
    <col min="13060" max="13060" width="24.42578125" bestFit="1" customWidth="1"/>
    <col min="13305" max="13305" width="30.42578125" bestFit="1" customWidth="1"/>
    <col min="13306" max="13306" width="12.140625" customWidth="1"/>
    <col min="13307" max="13307" width="29.140625" bestFit="1" customWidth="1"/>
    <col min="13308" max="13308" width="12.5703125" customWidth="1"/>
    <col min="13310" max="13310" width="24" customWidth="1"/>
    <col min="13311" max="13311" width="22.28515625" customWidth="1"/>
    <col min="13313" max="13313" width="10.140625" bestFit="1" customWidth="1"/>
    <col min="13314" max="13314" width="12.7109375" bestFit="1" customWidth="1"/>
    <col min="13315" max="13315" width="12.140625" bestFit="1" customWidth="1"/>
    <col min="13316" max="13316" width="24.42578125" bestFit="1" customWidth="1"/>
    <col min="13561" max="13561" width="30.42578125" bestFit="1" customWidth="1"/>
    <col min="13562" max="13562" width="12.140625" customWidth="1"/>
    <col min="13563" max="13563" width="29.140625" bestFit="1" customWidth="1"/>
    <col min="13564" max="13564" width="12.5703125" customWidth="1"/>
    <col min="13566" max="13566" width="24" customWidth="1"/>
    <col min="13567" max="13567" width="22.28515625" customWidth="1"/>
    <col min="13569" max="13569" width="10.140625" bestFit="1" customWidth="1"/>
    <col min="13570" max="13570" width="12.7109375" bestFit="1" customWidth="1"/>
    <col min="13571" max="13571" width="12.140625" bestFit="1" customWidth="1"/>
    <col min="13572" max="13572" width="24.42578125" bestFit="1" customWidth="1"/>
    <col min="13817" max="13817" width="30.42578125" bestFit="1" customWidth="1"/>
    <col min="13818" max="13818" width="12.140625" customWidth="1"/>
    <col min="13819" max="13819" width="29.140625" bestFit="1" customWidth="1"/>
    <col min="13820" max="13820" width="12.5703125" customWidth="1"/>
    <col min="13822" max="13822" width="24" customWidth="1"/>
    <col min="13823" max="13823" width="22.28515625" customWidth="1"/>
    <col min="13825" max="13825" width="10.140625" bestFit="1" customWidth="1"/>
    <col min="13826" max="13826" width="12.7109375" bestFit="1" customWidth="1"/>
    <col min="13827" max="13827" width="12.140625" bestFit="1" customWidth="1"/>
    <col min="13828" max="13828" width="24.42578125" bestFit="1" customWidth="1"/>
    <col min="14073" max="14073" width="30.42578125" bestFit="1" customWidth="1"/>
    <col min="14074" max="14074" width="12.140625" customWidth="1"/>
    <col min="14075" max="14075" width="29.140625" bestFit="1" customWidth="1"/>
    <col min="14076" max="14076" width="12.5703125" customWidth="1"/>
    <col min="14078" max="14078" width="24" customWidth="1"/>
    <col min="14079" max="14079" width="22.28515625" customWidth="1"/>
    <col min="14081" max="14081" width="10.140625" bestFit="1" customWidth="1"/>
    <col min="14082" max="14082" width="12.7109375" bestFit="1" customWidth="1"/>
    <col min="14083" max="14083" width="12.140625" bestFit="1" customWidth="1"/>
    <col min="14084" max="14084" width="24.42578125" bestFit="1" customWidth="1"/>
    <col min="14329" max="14329" width="30.42578125" bestFit="1" customWidth="1"/>
    <col min="14330" max="14330" width="12.140625" customWidth="1"/>
    <col min="14331" max="14331" width="29.140625" bestFit="1" customWidth="1"/>
    <col min="14332" max="14332" width="12.5703125" customWidth="1"/>
    <col min="14334" max="14334" width="24" customWidth="1"/>
    <col min="14335" max="14335" width="22.28515625" customWidth="1"/>
    <col min="14337" max="14337" width="10.140625" bestFit="1" customWidth="1"/>
    <col min="14338" max="14338" width="12.7109375" bestFit="1" customWidth="1"/>
    <col min="14339" max="14339" width="12.140625" bestFit="1" customWidth="1"/>
    <col min="14340" max="14340" width="24.42578125" bestFit="1" customWidth="1"/>
    <col min="14585" max="14585" width="30.42578125" bestFit="1" customWidth="1"/>
    <col min="14586" max="14586" width="12.140625" customWidth="1"/>
    <col min="14587" max="14587" width="29.140625" bestFit="1" customWidth="1"/>
    <col min="14588" max="14588" width="12.5703125" customWidth="1"/>
    <col min="14590" max="14590" width="24" customWidth="1"/>
    <col min="14591" max="14591" width="22.28515625" customWidth="1"/>
    <col min="14593" max="14593" width="10.140625" bestFit="1" customWidth="1"/>
    <col min="14594" max="14594" width="12.7109375" bestFit="1" customWidth="1"/>
    <col min="14595" max="14595" width="12.140625" bestFit="1" customWidth="1"/>
    <col min="14596" max="14596" width="24.42578125" bestFit="1" customWidth="1"/>
    <col min="14841" max="14841" width="30.42578125" bestFit="1" customWidth="1"/>
    <col min="14842" max="14842" width="12.140625" customWidth="1"/>
    <col min="14843" max="14843" width="29.140625" bestFit="1" customWidth="1"/>
    <col min="14844" max="14844" width="12.5703125" customWidth="1"/>
    <col min="14846" max="14846" width="24" customWidth="1"/>
    <col min="14847" max="14847" width="22.28515625" customWidth="1"/>
    <col min="14849" max="14849" width="10.140625" bestFit="1" customWidth="1"/>
    <col min="14850" max="14850" width="12.7109375" bestFit="1" customWidth="1"/>
    <col min="14851" max="14851" width="12.140625" bestFit="1" customWidth="1"/>
    <col min="14852" max="14852" width="24.42578125" bestFit="1" customWidth="1"/>
    <col min="15097" max="15097" width="30.42578125" bestFit="1" customWidth="1"/>
    <col min="15098" max="15098" width="12.140625" customWidth="1"/>
    <col min="15099" max="15099" width="29.140625" bestFit="1" customWidth="1"/>
    <col min="15100" max="15100" width="12.5703125" customWidth="1"/>
    <col min="15102" max="15102" width="24" customWidth="1"/>
    <col min="15103" max="15103" width="22.28515625" customWidth="1"/>
    <col min="15105" max="15105" width="10.140625" bestFit="1" customWidth="1"/>
    <col min="15106" max="15106" width="12.7109375" bestFit="1" customWidth="1"/>
    <col min="15107" max="15107" width="12.140625" bestFit="1" customWidth="1"/>
    <col min="15108" max="15108" width="24.42578125" bestFit="1" customWidth="1"/>
    <col min="15353" max="15353" width="30.42578125" bestFit="1" customWidth="1"/>
    <col min="15354" max="15354" width="12.140625" customWidth="1"/>
    <col min="15355" max="15355" width="29.140625" bestFit="1" customWidth="1"/>
    <col min="15356" max="15356" width="12.5703125" customWidth="1"/>
    <col min="15358" max="15358" width="24" customWidth="1"/>
    <col min="15359" max="15359" width="22.28515625" customWidth="1"/>
    <col min="15361" max="15361" width="10.140625" bestFit="1" customWidth="1"/>
    <col min="15362" max="15362" width="12.7109375" bestFit="1" customWidth="1"/>
    <col min="15363" max="15363" width="12.140625" bestFit="1" customWidth="1"/>
    <col min="15364" max="15364" width="24.42578125" bestFit="1" customWidth="1"/>
    <col min="15609" max="15609" width="30.42578125" bestFit="1" customWidth="1"/>
    <col min="15610" max="15610" width="12.140625" customWidth="1"/>
    <col min="15611" max="15611" width="29.140625" bestFit="1" customWidth="1"/>
    <col min="15612" max="15612" width="12.5703125" customWidth="1"/>
    <col min="15614" max="15614" width="24" customWidth="1"/>
    <col min="15615" max="15615" width="22.28515625" customWidth="1"/>
    <col min="15617" max="15617" width="10.140625" bestFit="1" customWidth="1"/>
    <col min="15618" max="15618" width="12.7109375" bestFit="1" customWidth="1"/>
    <col min="15619" max="15619" width="12.140625" bestFit="1" customWidth="1"/>
    <col min="15620" max="15620" width="24.42578125" bestFit="1" customWidth="1"/>
    <col min="15865" max="15865" width="30.42578125" bestFit="1" customWidth="1"/>
    <col min="15866" max="15866" width="12.140625" customWidth="1"/>
    <col min="15867" max="15867" width="29.140625" bestFit="1" customWidth="1"/>
    <col min="15868" max="15868" width="12.5703125" customWidth="1"/>
    <col min="15870" max="15870" width="24" customWidth="1"/>
    <col min="15871" max="15871" width="22.28515625" customWidth="1"/>
    <col min="15873" max="15873" width="10.140625" bestFit="1" customWidth="1"/>
    <col min="15874" max="15874" width="12.7109375" bestFit="1" customWidth="1"/>
    <col min="15875" max="15875" width="12.140625" bestFit="1" customWidth="1"/>
    <col min="15876" max="15876" width="24.42578125" bestFit="1" customWidth="1"/>
    <col min="16121" max="16121" width="30.42578125" bestFit="1" customWidth="1"/>
    <col min="16122" max="16122" width="12.140625" customWidth="1"/>
    <col min="16123" max="16123" width="29.140625" bestFit="1" customWidth="1"/>
    <col min="16124" max="16124" width="12.5703125" customWidth="1"/>
    <col min="16126" max="16126" width="24" customWidth="1"/>
    <col min="16127" max="16127" width="22.28515625" customWidth="1"/>
    <col min="16129" max="16129" width="10.140625" bestFit="1" customWidth="1"/>
    <col min="16130" max="16130" width="12.7109375" bestFit="1" customWidth="1"/>
    <col min="16131" max="16131" width="12.140625" bestFit="1" customWidth="1"/>
    <col min="16132" max="16132" width="24.42578125" bestFit="1" customWidth="1"/>
  </cols>
  <sheetData>
    <row r="1" spans="1:26" ht="15.75" customHeight="1" thickBot="1" x14ac:dyDescent="0.3">
      <c r="B1" s="123">
        <v>42156</v>
      </c>
      <c r="C1" s="123"/>
      <c r="D1" s="7"/>
      <c r="E1" s="124" t="s">
        <v>8</v>
      </c>
      <c r="F1" s="125"/>
      <c r="G1" s="125"/>
      <c r="H1" s="126"/>
      <c r="I1" s="127"/>
      <c r="J1" s="3">
        <v>30</v>
      </c>
      <c r="K1" s="3">
        <v>30</v>
      </c>
      <c r="L1" s="3">
        <v>30</v>
      </c>
      <c r="M1" s="3">
        <v>35</v>
      </c>
      <c r="N1" s="3">
        <v>30</v>
      </c>
      <c r="O1" s="3">
        <v>25</v>
      </c>
      <c r="P1" s="3">
        <v>25</v>
      </c>
      <c r="Q1" s="3">
        <v>30</v>
      </c>
      <c r="R1" s="3">
        <v>35</v>
      </c>
      <c r="S1" s="3">
        <v>35</v>
      </c>
      <c r="T1" s="3">
        <v>30</v>
      </c>
      <c r="U1" s="3">
        <v>35</v>
      </c>
      <c r="V1" s="3">
        <v>35</v>
      </c>
      <c r="W1" s="3">
        <v>30</v>
      </c>
      <c r="X1" s="3">
        <v>30</v>
      </c>
      <c r="Y1" s="129" t="s">
        <v>25</v>
      </c>
      <c r="Z1" s="25">
        <f ca="1">TODAY()</f>
        <v>45273</v>
      </c>
    </row>
    <row r="2" spans="1:26" ht="30" customHeight="1" x14ac:dyDescent="0.25">
      <c r="B2" s="131" t="s">
        <v>1</v>
      </c>
      <c r="C2" s="132"/>
      <c r="E2" s="35" t="s">
        <v>12</v>
      </c>
      <c r="F2" s="36" t="s">
        <v>9</v>
      </c>
      <c r="G2" s="36" t="s">
        <v>10</v>
      </c>
      <c r="H2" s="4" t="s">
        <v>11</v>
      </c>
      <c r="I2" s="128"/>
      <c r="J2" s="23" t="s">
        <v>22</v>
      </c>
      <c r="K2" s="23" t="s">
        <v>5</v>
      </c>
      <c r="L2" s="23" t="s">
        <v>13</v>
      </c>
      <c r="M2" s="23" t="s">
        <v>14</v>
      </c>
      <c r="N2" s="23" t="s">
        <v>15</v>
      </c>
      <c r="O2" s="23" t="s">
        <v>56</v>
      </c>
      <c r="P2" s="23" t="s">
        <v>55</v>
      </c>
      <c r="Q2" s="23" t="s">
        <v>23</v>
      </c>
      <c r="R2" s="23" t="s">
        <v>57</v>
      </c>
      <c r="S2" s="23" t="s">
        <v>26</v>
      </c>
      <c r="T2" s="23" t="s">
        <v>19</v>
      </c>
      <c r="U2" s="23" t="s">
        <v>20</v>
      </c>
      <c r="V2" s="23" t="s">
        <v>21</v>
      </c>
      <c r="W2" s="23" t="s">
        <v>36</v>
      </c>
      <c r="X2" s="23" t="s">
        <v>41</v>
      </c>
      <c r="Y2" s="130"/>
    </row>
    <row r="3" spans="1:26" ht="15.75" thickBot="1" x14ac:dyDescent="0.3">
      <c r="B3" s="49" t="s">
        <v>0</v>
      </c>
      <c r="C3" s="50" t="s">
        <v>2</v>
      </c>
      <c r="E3" s="32">
        <f>B1</f>
        <v>42156</v>
      </c>
      <c r="F3" s="71"/>
      <c r="G3" s="71"/>
      <c r="H3" s="72"/>
      <c r="I3" s="31">
        <f>E3</f>
        <v>42156</v>
      </c>
      <c r="J3" s="37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9"/>
      <c r="Y3" s="61">
        <f>SUM(J3:X3)</f>
        <v>0</v>
      </c>
    </row>
    <row r="4" spans="1:26" ht="15.75" thickBot="1" x14ac:dyDescent="0.3">
      <c r="B4" s="14" t="s">
        <v>3</v>
      </c>
      <c r="C4" s="15">
        <f>F34</f>
        <v>29810</v>
      </c>
      <c r="E4" s="32">
        <f>E3+1</f>
        <v>42157</v>
      </c>
      <c r="F4" s="71"/>
      <c r="G4" s="71"/>
      <c r="H4" s="72"/>
      <c r="I4" s="31">
        <f t="shared" ref="I4:I33" si="0">E4</f>
        <v>42157</v>
      </c>
      <c r="J4" s="40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2"/>
      <c r="Y4" s="62">
        <f>SUM(J4:X4)</f>
        <v>0</v>
      </c>
    </row>
    <row r="5" spans="1:26" ht="15" customHeight="1" thickBot="1" x14ac:dyDescent="0.3">
      <c r="A5" s="51"/>
      <c r="E5" s="32">
        <f t="shared" ref="E5:E33" si="1">E4+1</f>
        <v>42158</v>
      </c>
      <c r="F5" s="71">
        <v>5470</v>
      </c>
      <c r="G5" s="71"/>
      <c r="H5" s="72" t="s">
        <v>3</v>
      </c>
      <c r="I5" s="31">
        <f t="shared" si="0"/>
        <v>42158</v>
      </c>
      <c r="J5" s="40">
        <v>3</v>
      </c>
      <c r="K5" s="41">
        <v>3</v>
      </c>
      <c r="L5" s="41">
        <v>3</v>
      </c>
      <c r="M5" s="41">
        <v>52</v>
      </c>
      <c r="N5" s="41">
        <v>31</v>
      </c>
      <c r="O5" s="41">
        <v>8</v>
      </c>
      <c r="P5" s="41">
        <v>4</v>
      </c>
      <c r="Q5" s="41">
        <v>15</v>
      </c>
      <c r="R5" s="41">
        <v>2</v>
      </c>
      <c r="S5" s="41">
        <v>2</v>
      </c>
      <c r="T5" s="41">
        <v>6</v>
      </c>
      <c r="U5" s="41">
        <v>11</v>
      </c>
      <c r="V5" s="41">
        <v>6</v>
      </c>
      <c r="W5" s="41">
        <v>34</v>
      </c>
      <c r="X5" s="42">
        <v>2</v>
      </c>
      <c r="Y5" s="62">
        <f t="shared" ref="Y5:Y33" si="2">SUM(J5:X5)</f>
        <v>182</v>
      </c>
    </row>
    <row r="6" spans="1:26" ht="15" customHeight="1" x14ac:dyDescent="0.25">
      <c r="A6" s="139" t="s">
        <v>42</v>
      </c>
      <c r="B6" s="76" t="s">
        <v>7</v>
      </c>
      <c r="C6" s="11">
        <v>4000</v>
      </c>
      <c r="E6" s="32">
        <f t="shared" si="1"/>
        <v>42159</v>
      </c>
      <c r="F6" s="71"/>
      <c r="G6" s="71"/>
      <c r="H6" s="72"/>
      <c r="I6" s="31">
        <f t="shared" si="0"/>
        <v>42159</v>
      </c>
      <c r="J6" s="40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2"/>
      <c r="Y6" s="62">
        <f t="shared" si="2"/>
        <v>0</v>
      </c>
    </row>
    <row r="7" spans="1:26" x14ac:dyDescent="0.25">
      <c r="A7" s="140"/>
      <c r="B7" s="77" t="s">
        <v>43</v>
      </c>
      <c r="C7" s="12">
        <v>40</v>
      </c>
      <c r="E7" s="32">
        <f t="shared" si="1"/>
        <v>42160</v>
      </c>
      <c r="F7" s="71"/>
      <c r="G7" s="71"/>
      <c r="H7" s="72"/>
      <c r="I7" s="31">
        <f t="shared" si="0"/>
        <v>42160</v>
      </c>
      <c r="J7" s="40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2"/>
      <c r="Y7" s="62">
        <f t="shared" si="2"/>
        <v>0</v>
      </c>
    </row>
    <row r="8" spans="1:26" x14ac:dyDescent="0.25">
      <c r="A8" s="140"/>
      <c r="B8" s="77" t="s">
        <v>4</v>
      </c>
      <c r="C8" s="13">
        <f>(INDEX('[1]Кредит Сатурн'!$C:$C,MATCH(B1,'[1]Кредит Сатурн'!$A:$A,0)))</f>
        <v>2064</v>
      </c>
      <c r="E8" s="32">
        <f t="shared" si="1"/>
        <v>42161</v>
      </c>
      <c r="F8" s="71"/>
      <c r="G8" s="71"/>
      <c r="H8" s="72"/>
      <c r="I8" s="31">
        <f t="shared" si="0"/>
        <v>42161</v>
      </c>
      <c r="J8" s="40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2"/>
      <c r="Y8" s="62">
        <f t="shared" si="2"/>
        <v>0</v>
      </c>
    </row>
    <row r="9" spans="1:26" x14ac:dyDescent="0.25">
      <c r="A9" s="140"/>
      <c r="B9" s="77" t="s">
        <v>27</v>
      </c>
      <c r="C9" s="12">
        <f>'[2]Расход ингредиентов'!$D$145</f>
        <v>5100</v>
      </c>
      <c r="E9" s="32">
        <f t="shared" si="1"/>
        <v>42162</v>
      </c>
      <c r="F9" s="71"/>
      <c r="G9" s="71"/>
      <c r="H9" s="72"/>
      <c r="I9" s="31">
        <f t="shared" si="0"/>
        <v>42162</v>
      </c>
      <c r="J9" s="40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2"/>
      <c r="Y9" s="62">
        <f t="shared" si="2"/>
        <v>0</v>
      </c>
    </row>
    <row r="10" spans="1:26" x14ac:dyDescent="0.25">
      <c r="A10" s="140"/>
      <c r="B10" s="77" t="s">
        <v>44</v>
      </c>
      <c r="C10" s="12">
        <f>'[2]Расход ингредиентов'!$D$142</f>
        <v>0</v>
      </c>
      <c r="E10" s="32">
        <f t="shared" si="1"/>
        <v>42163</v>
      </c>
      <c r="F10" s="71"/>
      <c r="G10" s="71"/>
      <c r="H10" s="72"/>
      <c r="I10" s="31">
        <f t="shared" si="0"/>
        <v>42163</v>
      </c>
      <c r="J10" s="40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2"/>
      <c r="Y10" s="62">
        <f t="shared" si="2"/>
        <v>0</v>
      </c>
    </row>
    <row r="11" spans="1:26" x14ac:dyDescent="0.25">
      <c r="A11" s="140"/>
      <c r="B11" s="77" t="s">
        <v>38</v>
      </c>
      <c r="C11" s="12">
        <f>'[2]Расход ингредиентов'!$D$141</f>
        <v>80</v>
      </c>
      <c r="E11" s="32">
        <f t="shared" si="1"/>
        <v>42164</v>
      </c>
      <c r="F11" s="71"/>
      <c r="G11" s="71">
        <f>5000/4</f>
        <v>1250</v>
      </c>
      <c r="H11" s="72" t="s">
        <v>104</v>
      </c>
      <c r="I11" s="31">
        <f t="shared" si="0"/>
        <v>42164</v>
      </c>
      <c r="J11" s="40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2"/>
      <c r="Y11" s="62">
        <f t="shared" si="2"/>
        <v>0</v>
      </c>
    </row>
    <row r="12" spans="1:26" x14ac:dyDescent="0.25">
      <c r="A12" s="140"/>
      <c r="B12" s="77" t="s">
        <v>39</v>
      </c>
      <c r="C12" s="12">
        <v>0</v>
      </c>
      <c r="E12" s="32">
        <f t="shared" si="1"/>
        <v>42165</v>
      </c>
      <c r="F12" s="71"/>
      <c r="G12" s="71"/>
      <c r="H12" s="72"/>
      <c r="I12" s="31">
        <f t="shared" si="0"/>
        <v>42165</v>
      </c>
      <c r="J12" s="40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2"/>
      <c r="Y12" s="62">
        <f t="shared" si="2"/>
        <v>0</v>
      </c>
    </row>
    <row r="13" spans="1:26" x14ac:dyDescent="0.25">
      <c r="A13" s="140"/>
      <c r="B13" s="77" t="s">
        <v>31</v>
      </c>
      <c r="C13" s="18">
        <v>3300</v>
      </c>
      <c r="E13" s="32">
        <f t="shared" si="1"/>
        <v>42166</v>
      </c>
      <c r="F13" s="71"/>
      <c r="G13" s="71"/>
      <c r="H13" s="72"/>
      <c r="I13" s="31">
        <f t="shared" si="0"/>
        <v>42166</v>
      </c>
      <c r="J13" s="40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2"/>
      <c r="Y13" s="62">
        <f t="shared" si="2"/>
        <v>0</v>
      </c>
    </row>
    <row r="14" spans="1:26" x14ac:dyDescent="0.25">
      <c r="A14" s="140"/>
      <c r="B14" s="77" t="s">
        <v>46</v>
      </c>
      <c r="C14" s="18">
        <v>1430</v>
      </c>
      <c r="E14" s="32">
        <f t="shared" si="1"/>
        <v>42167</v>
      </c>
      <c r="F14" s="71">
        <f>7830</f>
        <v>7830</v>
      </c>
      <c r="G14" s="71"/>
      <c r="H14" s="72" t="s">
        <v>3</v>
      </c>
      <c r="I14" s="31">
        <f t="shared" si="0"/>
        <v>42167</v>
      </c>
      <c r="J14" s="40">
        <v>18</v>
      </c>
      <c r="K14" s="41">
        <v>8</v>
      </c>
      <c r="L14" s="41">
        <v>7</v>
      </c>
      <c r="M14" s="41">
        <v>57</v>
      </c>
      <c r="N14" s="41">
        <v>29</v>
      </c>
      <c r="O14" s="41">
        <v>10</v>
      </c>
      <c r="P14" s="41">
        <v>5</v>
      </c>
      <c r="Q14" s="41">
        <v>47</v>
      </c>
      <c r="R14" s="41">
        <v>5</v>
      </c>
      <c r="S14" s="41">
        <v>10</v>
      </c>
      <c r="T14" s="41">
        <v>13</v>
      </c>
      <c r="U14" s="41">
        <v>9</v>
      </c>
      <c r="V14" s="41">
        <v>20</v>
      </c>
      <c r="W14" s="41">
        <v>11</v>
      </c>
      <c r="X14" s="42">
        <v>10</v>
      </c>
      <c r="Y14" s="62">
        <f t="shared" si="2"/>
        <v>259</v>
      </c>
    </row>
    <row r="15" spans="1:26" x14ac:dyDescent="0.25">
      <c r="A15" s="140"/>
      <c r="B15" s="77" t="s">
        <v>45</v>
      </c>
      <c r="C15" s="12">
        <f>G11+G21+G20+G19</f>
        <v>1750</v>
      </c>
      <c r="E15" s="32">
        <f t="shared" si="1"/>
        <v>42168</v>
      </c>
      <c r="F15" s="71"/>
      <c r="G15" s="71"/>
      <c r="H15" s="72"/>
      <c r="I15" s="31">
        <f t="shared" si="0"/>
        <v>42168</v>
      </c>
      <c r="J15" s="40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62">
        <f t="shared" si="2"/>
        <v>0</v>
      </c>
    </row>
    <row r="16" spans="1:26" ht="15.75" thickBot="1" x14ac:dyDescent="0.3">
      <c r="A16" s="141"/>
      <c r="B16" s="78" t="s">
        <v>47</v>
      </c>
      <c r="C16" s="53">
        <f>SUM(C6:C15)</f>
        <v>17764</v>
      </c>
      <c r="E16" s="32">
        <f t="shared" si="1"/>
        <v>42169</v>
      </c>
      <c r="F16" s="71"/>
      <c r="G16" s="71"/>
      <c r="H16" s="72"/>
      <c r="I16" s="31">
        <f t="shared" si="0"/>
        <v>42169</v>
      </c>
      <c r="J16" s="40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2"/>
      <c r="Y16" s="62">
        <f t="shared" si="2"/>
        <v>0</v>
      </c>
    </row>
    <row r="17" spans="1:25" ht="15.75" thickBot="1" x14ac:dyDescent="0.3">
      <c r="E17" s="32">
        <f t="shared" si="1"/>
        <v>42170</v>
      </c>
      <c r="F17" s="71"/>
      <c r="G17" s="71"/>
      <c r="H17" s="72"/>
      <c r="I17" s="31">
        <f t="shared" si="0"/>
        <v>42170</v>
      </c>
      <c r="J17" s="40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2"/>
      <c r="Y17" s="62">
        <f t="shared" si="2"/>
        <v>0</v>
      </c>
    </row>
    <row r="18" spans="1:25" ht="15.75" thickBot="1" x14ac:dyDescent="0.3">
      <c r="B18" s="16" t="s">
        <v>32</v>
      </c>
      <c r="C18" s="17">
        <f>C4-C16</f>
        <v>12046</v>
      </c>
      <c r="E18" s="32">
        <f t="shared" si="1"/>
        <v>42171</v>
      </c>
      <c r="F18" s="71"/>
      <c r="G18" s="71"/>
      <c r="H18" s="72"/>
      <c r="I18" s="31">
        <f t="shared" si="0"/>
        <v>42171</v>
      </c>
      <c r="J18" s="40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2"/>
      <c r="Y18" s="62">
        <f t="shared" si="2"/>
        <v>0</v>
      </c>
    </row>
    <row r="19" spans="1:25" ht="15.75" thickBot="1" x14ac:dyDescent="0.3">
      <c r="E19" s="32">
        <f t="shared" si="1"/>
        <v>42172</v>
      </c>
      <c r="F19" s="71"/>
      <c r="G19" s="71">
        <f>1400/7</f>
        <v>200</v>
      </c>
      <c r="H19" s="72" t="s">
        <v>97</v>
      </c>
      <c r="I19" s="31">
        <f t="shared" si="0"/>
        <v>42172</v>
      </c>
      <c r="J19" s="40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2"/>
      <c r="Y19" s="62">
        <f t="shared" si="2"/>
        <v>0</v>
      </c>
    </row>
    <row r="20" spans="1:25" ht="15.75" thickBot="1" x14ac:dyDescent="0.3">
      <c r="B20" s="16" t="s">
        <v>48</v>
      </c>
      <c r="C20" s="17">
        <f>CEILING(C6+C8,100)</f>
        <v>6100</v>
      </c>
      <c r="E20" s="32">
        <f t="shared" si="1"/>
        <v>42173</v>
      </c>
      <c r="F20" s="71"/>
      <c r="G20" s="71">
        <f>100</f>
        <v>100</v>
      </c>
      <c r="H20" s="72" t="s">
        <v>105</v>
      </c>
      <c r="I20" s="31">
        <f t="shared" si="0"/>
        <v>42173</v>
      </c>
      <c r="J20" s="40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2"/>
      <c r="Y20" s="62">
        <f t="shared" si="2"/>
        <v>0</v>
      </c>
    </row>
    <row r="21" spans="1:25" ht="15.75" thickBot="1" x14ac:dyDescent="0.3">
      <c r="E21" s="32">
        <f>E20+1</f>
        <v>42174</v>
      </c>
      <c r="F21" s="71"/>
      <c r="G21" s="71">
        <v>200</v>
      </c>
      <c r="H21" s="72" t="s">
        <v>87</v>
      </c>
      <c r="I21" s="31">
        <f t="shared" si="0"/>
        <v>42174</v>
      </c>
      <c r="J21" s="40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2"/>
      <c r="Y21" s="62">
        <f t="shared" si="2"/>
        <v>0</v>
      </c>
    </row>
    <row r="22" spans="1:25" ht="15.75" thickBot="1" x14ac:dyDescent="0.3">
      <c r="B22" s="52" t="s">
        <v>53</v>
      </c>
      <c r="C22" s="63">
        <f>C18</f>
        <v>12046</v>
      </c>
      <c r="E22" s="32">
        <f t="shared" si="1"/>
        <v>42175</v>
      </c>
      <c r="F22" s="71">
        <f>7640</f>
        <v>7640</v>
      </c>
      <c r="G22" s="71"/>
      <c r="H22" s="72" t="s">
        <v>3</v>
      </c>
      <c r="I22" s="31">
        <f t="shared" si="0"/>
        <v>42175</v>
      </c>
      <c r="J22" s="40">
        <v>10</v>
      </c>
      <c r="K22" s="41">
        <v>10</v>
      </c>
      <c r="L22" s="41">
        <v>5</v>
      </c>
      <c r="M22" s="41">
        <v>72</v>
      </c>
      <c r="N22" s="41">
        <v>35</v>
      </c>
      <c r="O22" s="41">
        <v>15</v>
      </c>
      <c r="P22" s="41">
        <v>13</v>
      </c>
      <c r="Q22" s="41">
        <v>19</v>
      </c>
      <c r="R22" s="41">
        <v>8</v>
      </c>
      <c r="S22" s="41">
        <v>32</v>
      </c>
      <c r="T22" s="41">
        <v>14</v>
      </c>
      <c r="U22" s="41">
        <v>13</v>
      </c>
      <c r="V22" s="41">
        <v>18</v>
      </c>
      <c r="W22" s="41">
        <v>11</v>
      </c>
      <c r="X22" s="42">
        <v>8</v>
      </c>
      <c r="Y22" s="62">
        <f t="shared" si="2"/>
        <v>283</v>
      </c>
    </row>
    <row r="23" spans="1:25" ht="15" customHeight="1" x14ac:dyDescent="0.25">
      <c r="A23" s="133" t="s">
        <v>49</v>
      </c>
      <c r="B23" s="58" t="s">
        <v>50</v>
      </c>
      <c r="C23" s="59">
        <v>0</v>
      </c>
      <c r="E23" s="32">
        <f t="shared" si="1"/>
        <v>42176</v>
      </c>
      <c r="F23" s="71"/>
      <c r="G23" s="71"/>
      <c r="H23" s="120"/>
      <c r="I23" s="31">
        <f t="shared" si="0"/>
        <v>42176</v>
      </c>
      <c r="J23" s="40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2"/>
      <c r="Y23" s="62">
        <f t="shared" si="2"/>
        <v>0</v>
      </c>
    </row>
    <row r="24" spans="1:25" x14ac:dyDescent="0.25">
      <c r="A24" s="134"/>
      <c r="B24" s="54" t="s">
        <v>40</v>
      </c>
      <c r="C24" s="55">
        <v>0</v>
      </c>
      <c r="E24" s="32">
        <f t="shared" si="1"/>
        <v>42177</v>
      </c>
      <c r="F24" s="71"/>
      <c r="G24" s="71"/>
      <c r="H24" s="72"/>
      <c r="I24" s="31">
        <f t="shared" si="0"/>
        <v>42177</v>
      </c>
      <c r="J24" s="40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2"/>
      <c r="Y24" s="62">
        <f t="shared" si="2"/>
        <v>0</v>
      </c>
    </row>
    <row r="25" spans="1:25" x14ac:dyDescent="0.25">
      <c r="A25" s="134"/>
      <c r="B25" s="54" t="s">
        <v>51</v>
      </c>
      <c r="C25" s="55">
        <v>0</v>
      </c>
      <c r="E25" s="32">
        <f t="shared" si="1"/>
        <v>42178</v>
      </c>
      <c r="F25" s="71"/>
      <c r="G25" s="71"/>
      <c r="H25" s="72"/>
      <c r="I25" s="31">
        <f t="shared" si="0"/>
        <v>42178</v>
      </c>
      <c r="J25" s="40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2"/>
      <c r="Y25" s="62">
        <f t="shared" si="2"/>
        <v>0</v>
      </c>
    </row>
    <row r="26" spans="1:25" ht="15.75" thickBot="1" x14ac:dyDescent="0.3">
      <c r="A26" s="134"/>
      <c r="B26" s="57" t="s">
        <v>52</v>
      </c>
      <c r="C26" s="56">
        <v>0</v>
      </c>
      <c r="E26" s="32">
        <f t="shared" si="1"/>
        <v>42179</v>
      </c>
      <c r="F26" s="71"/>
      <c r="G26" s="71"/>
      <c r="H26" s="72"/>
      <c r="I26" s="31">
        <f t="shared" si="0"/>
        <v>42179</v>
      </c>
      <c r="J26" s="40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2"/>
      <c r="Y26" s="62">
        <f t="shared" si="2"/>
        <v>0</v>
      </c>
    </row>
    <row r="27" spans="1:25" ht="15.75" thickBot="1" x14ac:dyDescent="0.3">
      <c r="A27" s="134"/>
      <c r="B27" s="52" t="s">
        <v>54</v>
      </c>
      <c r="C27" s="60">
        <f>C22-SUM(C23:C26)</f>
        <v>12046</v>
      </c>
      <c r="E27" s="32">
        <f t="shared" si="1"/>
        <v>42180</v>
      </c>
      <c r="F27" s="71"/>
      <c r="G27" s="71"/>
      <c r="H27" s="72"/>
      <c r="I27" s="31">
        <f t="shared" si="0"/>
        <v>42180</v>
      </c>
      <c r="J27" s="40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2"/>
      <c r="Y27" s="62">
        <f t="shared" si="2"/>
        <v>0</v>
      </c>
    </row>
    <row r="28" spans="1:25" ht="15.75" thickBot="1" x14ac:dyDescent="0.3">
      <c r="A28" s="135"/>
      <c r="B28" s="33"/>
      <c r="C28" s="34"/>
      <c r="E28" s="32">
        <f t="shared" si="1"/>
        <v>42181</v>
      </c>
      <c r="F28" s="71"/>
      <c r="G28" s="29"/>
      <c r="H28" s="72"/>
      <c r="I28" s="31">
        <f t="shared" si="0"/>
        <v>42181</v>
      </c>
      <c r="J28" s="40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2"/>
      <c r="Y28" s="62">
        <f t="shared" si="2"/>
        <v>0</v>
      </c>
    </row>
    <row r="29" spans="1:25" ht="15.75" thickBot="1" x14ac:dyDescent="0.3">
      <c r="B29" s="16" t="s">
        <v>28</v>
      </c>
      <c r="C29" s="17">
        <f>'6'!G35+'5'!C29</f>
        <v>173557</v>
      </c>
      <c r="E29" s="32">
        <f t="shared" si="1"/>
        <v>42182</v>
      </c>
      <c r="F29" s="71">
        <f>6170</f>
        <v>6170</v>
      </c>
      <c r="G29" s="71"/>
      <c r="H29" s="72" t="s">
        <v>3</v>
      </c>
      <c r="I29" s="31">
        <f t="shared" si="0"/>
        <v>42182</v>
      </c>
      <c r="J29" s="40">
        <v>18</v>
      </c>
      <c r="K29" s="41">
        <v>9</v>
      </c>
      <c r="L29" s="41">
        <v>3</v>
      </c>
      <c r="M29" s="41">
        <v>52</v>
      </c>
      <c r="N29" s="41">
        <v>37</v>
      </c>
      <c r="O29" s="41">
        <v>4</v>
      </c>
      <c r="P29" s="41">
        <v>6</v>
      </c>
      <c r="Q29" s="41">
        <v>23</v>
      </c>
      <c r="R29" s="41">
        <v>41</v>
      </c>
      <c r="S29" s="41">
        <v>9</v>
      </c>
      <c r="T29" s="41">
        <v>6</v>
      </c>
      <c r="U29" s="41">
        <v>10</v>
      </c>
      <c r="V29" s="41">
        <v>11</v>
      </c>
      <c r="W29" s="41">
        <v>5</v>
      </c>
      <c r="X29" s="42">
        <v>8</v>
      </c>
      <c r="Y29" s="62">
        <f t="shared" si="2"/>
        <v>242</v>
      </c>
    </row>
    <row r="30" spans="1:25" x14ac:dyDescent="0.25">
      <c r="B30" s="46"/>
      <c r="C30" s="47"/>
      <c r="E30" s="32">
        <f t="shared" si="1"/>
        <v>42183</v>
      </c>
      <c r="F30" s="29">
        <v>2700</v>
      </c>
      <c r="G30" s="29"/>
      <c r="H30" s="72" t="s">
        <v>106</v>
      </c>
      <c r="I30" s="31">
        <f t="shared" si="0"/>
        <v>42183</v>
      </c>
      <c r="J30" s="40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2"/>
      <c r="Y30" s="62">
        <f t="shared" si="2"/>
        <v>0</v>
      </c>
    </row>
    <row r="31" spans="1:25" x14ac:dyDescent="0.25">
      <c r="B31" s="43"/>
      <c r="C31" s="48"/>
      <c r="E31" s="32">
        <f t="shared" si="1"/>
        <v>42184</v>
      </c>
      <c r="F31" s="29"/>
      <c r="G31" s="29"/>
      <c r="H31" s="72"/>
      <c r="I31" s="31">
        <f t="shared" si="0"/>
        <v>42184</v>
      </c>
      <c r="J31" s="40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2"/>
      <c r="Y31" s="62">
        <f t="shared" si="2"/>
        <v>0</v>
      </c>
    </row>
    <row r="32" spans="1:25" ht="15.75" thickBot="1" x14ac:dyDescent="0.3">
      <c r="B32" s="43"/>
      <c r="C32" s="48"/>
      <c r="E32" s="32">
        <f t="shared" si="1"/>
        <v>42185</v>
      </c>
      <c r="F32" s="29"/>
      <c r="G32" s="29"/>
      <c r="H32" s="72"/>
      <c r="I32" s="31">
        <f t="shared" si="0"/>
        <v>42185</v>
      </c>
      <c r="J32" s="40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2"/>
      <c r="Y32" s="62">
        <f t="shared" si="2"/>
        <v>0</v>
      </c>
    </row>
    <row r="33" spans="2:25" ht="15.75" hidden="1" thickBot="1" x14ac:dyDescent="0.3">
      <c r="B33" s="33"/>
      <c r="C33" s="34"/>
      <c r="E33" s="32">
        <f t="shared" si="1"/>
        <v>42186</v>
      </c>
      <c r="F33" s="29"/>
      <c r="G33" s="29"/>
      <c r="H33" s="72"/>
      <c r="I33" s="31">
        <f t="shared" si="0"/>
        <v>42186</v>
      </c>
      <c r="J33" s="40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2"/>
      <c r="Y33" s="62">
        <f t="shared" si="2"/>
        <v>0</v>
      </c>
    </row>
    <row r="34" spans="2:25" ht="15.75" thickBot="1" x14ac:dyDescent="0.3">
      <c r="B34" s="43"/>
      <c r="C34" s="48"/>
      <c r="E34" s="19" t="s">
        <v>6</v>
      </c>
      <c r="F34" s="6">
        <f>SUM(F3:F33)</f>
        <v>29810</v>
      </c>
      <c r="G34" s="6">
        <f>SUM(G3:G33)</f>
        <v>1750</v>
      </c>
      <c r="H34" s="2"/>
      <c r="I34" s="22" t="s">
        <v>33</v>
      </c>
      <c r="J34" s="24">
        <f t="shared" ref="J34:Y34" si="3">SUM(J3:J33)</f>
        <v>49</v>
      </c>
      <c r="K34" s="24">
        <f t="shared" si="3"/>
        <v>30</v>
      </c>
      <c r="L34" s="24">
        <f t="shared" si="3"/>
        <v>18</v>
      </c>
      <c r="M34" s="24">
        <f t="shared" si="3"/>
        <v>233</v>
      </c>
      <c r="N34" s="24">
        <f t="shared" si="3"/>
        <v>132</v>
      </c>
      <c r="O34" s="24">
        <f t="shared" si="3"/>
        <v>37</v>
      </c>
      <c r="P34" s="24">
        <f t="shared" si="3"/>
        <v>28</v>
      </c>
      <c r="Q34" s="24">
        <f t="shared" si="3"/>
        <v>104</v>
      </c>
      <c r="R34" s="24">
        <f t="shared" si="3"/>
        <v>56</v>
      </c>
      <c r="S34" s="24">
        <f t="shared" si="3"/>
        <v>53</v>
      </c>
      <c r="T34" s="24">
        <f t="shared" si="3"/>
        <v>39</v>
      </c>
      <c r="U34" s="24">
        <f t="shared" si="3"/>
        <v>43</v>
      </c>
      <c r="V34" s="24">
        <f t="shared" si="3"/>
        <v>55</v>
      </c>
      <c r="W34" s="24">
        <f t="shared" si="3"/>
        <v>61</v>
      </c>
      <c r="X34" s="24">
        <f t="shared" si="3"/>
        <v>28</v>
      </c>
      <c r="Y34" s="24">
        <f t="shared" si="3"/>
        <v>966</v>
      </c>
    </row>
    <row r="35" spans="2:25" ht="15.75" thickBot="1" x14ac:dyDescent="0.3">
      <c r="B35" s="43"/>
      <c r="C35" s="48"/>
      <c r="E35" s="136" t="s">
        <v>37</v>
      </c>
      <c r="F35" s="137"/>
      <c r="G35" s="1">
        <f>F34-G34</f>
        <v>28060</v>
      </c>
      <c r="I35"/>
    </row>
    <row r="36" spans="2:25" ht="24" x14ac:dyDescent="0.25">
      <c r="B36" s="43"/>
      <c r="C36" s="48"/>
      <c r="J36" s="8" t="s">
        <v>22</v>
      </c>
      <c r="K36" s="8" t="s">
        <v>5</v>
      </c>
      <c r="L36" s="8" t="s">
        <v>13</v>
      </c>
      <c r="M36" s="8" t="s">
        <v>14</v>
      </c>
      <c r="N36" s="8" t="s">
        <v>15</v>
      </c>
      <c r="O36" s="8" t="s">
        <v>16</v>
      </c>
      <c r="P36" s="8" t="s">
        <v>17</v>
      </c>
      <c r="Q36" s="8" t="s">
        <v>23</v>
      </c>
      <c r="R36" s="8" t="s">
        <v>24</v>
      </c>
      <c r="S36" s="8" t="s">
        <v>26</v>
      </c>
      <c r="T36" s="8" t="s">
        <v>19</v>
      </c>
      <c r="U36" s="8" t="s">
        <v>20</v>
      </c>
      <c r="V36" s="8" t="s">
        <v>21</v>
      </c>
      <c r="W36" s="8" t="s">
        <v>36</v>
      </c>
      <c r="X36" s="8" t="s">
        <v>18</v>
      </c>
    </row>
    <row r="37" spans="2:25" ht="15.75" thickBot="1" x14ac:dyDescent="0.3">
      <c r="B37" s="43"/>
      <c r="C37" s="48"/>
      <c r="J37" s="9">
        <f>J34</f>
        <v>49</v>
      </c>
      <c r="K37" s="9">
        <f t="shared" ref="K37:X37" si="4">K34</f>
        <v>30</v>
      </c>
      <c r="L37" s="9">
        <f t="shared" si="4"/>
        <v>18</v>
      </c>
      <c r="M37" s="9">
        <f t="shared" si="4"/>
        <v>233</v>
      </c>
      <c r="N37" s="9">
        <f t="shared" si="4"/>
        <v>132</v>
      </c>
      <c r="O37" s="9">
        <f t="shared" si="4"/>
        <v>37</v>
      </c>
      <c r="P37" s="9">
        <f t="shared" si="4"/>
        <v>28</v>
      </c>
      <c r="Q37" s="9">
        <f t="shared" si="4"/>
        <v>104</v>
      </c>
      <c r="R37" s="9">
        <f t="shared" si="4"/>
        <v>56</v>
      </c>
      <c r="S37" s="9">
        <f t="shared" si="4"/>
        <v>53</v>
      </c>
      <c r="T37" s="9">
        <f t="shared" si="4"/>
        <v>39</v>
      </c>
      <c r="U37" s="9">
        <f t="shared" si="4"/>
        <v>43</v>
      </c>
      <c r="V37" s="9">
        <f t="shared" si="4"/>
        <v>55</v>
      </c>
      <c r="W37" s="9">
        <f t="shared" si="4"/>
        <v>61</v>
      </c>
      <c r="X37" s="9">
        <f t="shared" si="4"/>
        <v>28</v>
      </c>
    </row>
    <row r="38" spans="2:25" x14ac:dyDescent="0.25">
      <c r="B38" s="45"/>
      <c r="C38" s="45"/>
      <c r="I38" s="21"/>
      <c r="J38" s="10">
        <f>J34*'[3]Себестоимость '!D17</f>
        <v>456.10833333333335</v>
      </c>
      <c r="K38" s="10">
        <f>K34*'[3]Себестоимость '!E17</f>
        <v>248.79999999999998</v>
      </c>
      <c r="L38" s="10">
        <f>L34*'[3]Себестоимость '!F17</f>
        <v>159.81</v>
      </c>
      <c r="M38" s="10">
        <f>M34*'[3]Себестоимость '!G17</f>
        <v>2237.5766666666664</v>
      </c>
      <c r="N38" s="10">
        <f>N34*'[3]Себестоимость '!H17</f>
        <v>1202.8279999999997</v>
      </c>
      <c r="O38" s="10">
        <f>O34*'[3]Себестоимость '!I17</f>
        <v>134.06333333333333</v>
      </c>
      <c r="P38" s="10" t="e">
        <f>P34*'[3]Себестоимость '!J17</f>
        <v>#REF!</v>
      </c>
      <c r="Q38" s="10">
        <f>Q34*'[3]Себестоимость '!K17</f>
        <v>334.88</v>
      </c>
      <c r="R38" s="10">
        <f>R34*'[3]Себестоимость '!L17</f>
        <v>253.68</v>
      </c>
      <c r="S38" s="10">
        <f>S34*'[3]Себестоимость '!M17</f>
        <v>181.631</v>
      </c>
      <c r="T38" s="10">
        <f>T34*'[3]Себестоимость '!N17</f>
        <v>144.495</v>
      </c>
      <c r="U38" s="10">
        <f>U34*'[3]Себестоимость '!O17</f>
        <v>219.94500000000002</v>
      </c>
      <c r="V38" s="10">
        <f>V34*'[3]Себестоимость '!P17</f>
        <v>243.64999999999998</v>
      </c>
      <c r="W38" s="10">
        <f>W34*'[3]Себестоимость '!Q17</f>
        <v>296.76499999999999</v>
      </c>
      <c r="X38" s="10">
        <f>X34*'[3]Себестоимость '!R17</f>
        <v>132.29999999999998</v>
      </c>
      <c r="Y38" s="73" t="s">
        <v>30</v>
      </c>
    </row>
    <row r="39" spans="2:25" ht="15.75" thickBot="1" x14ac:dyDescent="0.3">
      <c r="B39" s="138"/>
      <c r="C39" s="138"/>
      <c r="Y39" s="74" t="s">
        <v>29</v>
      </c>
    </row>
    <row r="40" spans="2:25" x14ac:dyDescent="0.25">
      <c r="B40" s="46"/>
      <c r="C40" s="47"/>
    </row>
    <row r="41" spans="2:25" x14ac:dyDescent="0.25">
      <c r="B41" s="43"/>
      <c r="C41" s="48"/>
    </row>
    <row r="42" spans="2:25" x14ac:dyDescent="0.25">
      <c r="B42" s="45"/>
      <c r="C42" s="45"/>
    </row>
    <row r="43" spans="2:25" x14ac:dyDescent="0.25">
      <c r="B43" s="138"/>
      <c r="C43" s="138"/>
    </row>
    <row r="44" spans="2:25" x14ac:dyDescent="0.25">
      <c r="B44" s="33"/>
      <c r="C44" s="34"/>
    </row>
    <row r="45" spans="2:25" x14ac:dyDescent="0.25">
      <c r="B45" s="43"/>
      <c r="C45" s="44"/>
    </row>
  </sheetData>
  <mergeCells count="10">
    <mergeCell ref="A23:A28"/>
    <mergeCell ref="E35:F35"/>
    <mergeCell ref="B39:C39"/>
    <mergeCell ref="B43:C43"/>
    <mergeCell ref="A6:A16"/>
    <mergeCell ref="B1:C1"/>
    <mergeCell ref="E1:H1"/>
    <mergeCell ref="I1:I2"/>
    <mergeCell ref="Y1:Y2"/>
    <mergeCell ref="B2:C2"/>
  </mergeCells>
  <conditionalFormatting sqref="Y3:Y33">
    <cfRule type="cellIs" dxfId="51" priority="6" operator="equal">
      <formula>0</formula>
    </cfRule>
  </conditionalFormatting>
  <conditionalFormatting sqref="E3:E33">
    <cfRule type="cellIs" dxfId="50" priority="5" operator="equal">
      <formula>$Z$1</formula>
    </cfRule>
  </conditionalFormatting>
  <conditionalFormatting sqref="I3:I33">
    <cfRule type="cellIs" dxfId="49" priority="4" operator="equal">
      <formula>$Z$1</formula>
    </cfRule>
  </conditionalFormatting>
  <conditionalFormatting sqref="I34">
    <cfRule type="expression" dxfId="48" priority="3">
      <formula>$E$3:$E$32=TODAY()</formula>
    </cfRule>
  </conditionalFormatting>
  <conditionalFormatting sqref="I34">
    <cfRule type="cellIs" dxfId="47" priority="2" operator="equal">
      <formula>$Z$1</formula>
    </cfRule>
  </conditionalFormatting>
  <conditionalFormatting sqref="E28:F28 I28:Y28 E3:Y27 E29:Y33">
    <cfRule type="expression" dxfId="46" priority="7">
      <formula>$E3=$Z$1</formula>
    </cfRule>
  </conditionalFormatting>
  <conditionalFormatting sqref="G28:H28">
    <cfRule type="expression" dxfId="45" priority="1">
      <formula>$E28=$Z$1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Z45"/>
  <sheetViews>
    <sheetView zoomScale="85" zoomScaleNormal="85" workbookViewId="0">
      <pane ySplit="2" topLeftCell="A12" activePane="bottomLeft" state="frozen"/>
      <selection activeCell="C15" sqref="C15"/>
      <selection pane="bottomLeft" activeCell="C16" sqref="C16"/>
    </sheetView>
  </sheetViews>
  <sheetFormatPr defaultRowHeight="15" x14ac:dyDescent="0.25"/>
  <cols>
    <col min="1" max="1" width="6.5703125" customWidth="1"/>
    <col min="2" max="2" width="30.42578125" bestFit="1" customWidth="1"/>
    <col min="3" max="3" width="15.28515625" customWidth="1"/>
    <col min="5" max="5" width="8.42578125" bestFit="1" customWidth="1"/>
    <col min="6" max="6" width="12.7109375" bestFit="1" customWidth="1"/>
    <col min="7" max="7" width="12.140625" bestFit="1" customWidth="1"/>
    <col min="8" max="8" width="48.42578125" bestFit="1" customWidth="1"/>
    <col min="9" max="9" width="8.7109375" style="20" bestFit="1" customWidth="1"/>
    <col min="10" max="10" width="12.28515625" customWidth="1"/>
    <col min="11" max="11" width="11.28515625" customWidth="1"/>
    <col min="12" max="12" width="10.140625" customWidth="1"/>
    <col min="13" max="16" width="9.28515625" bestFit="1" customWidth="1"/>
    <col min="17" max="17" width="9.85546875" bestFit="1" customWidth="1"/>
    <col min="18" max="22" width="9.28515625" bestFit="1" customWidth="1"/>
    <col min="23" max="23" width="11" customWidth="1"/>
    <col min="24" max="24" width="10.5703125" bestFit="1" customWidth="1"/>
    <col min="25" max="25" width="9.7109375" style="5" customWidth="1"/>
    <col min="26" max="26" width="10.28515625" bestFit="1" customWidth="1"/>
    <col min="249" max="249" width="30.42578125" bestFit="1" customWidth="1"/>
    <col min="250" max="250" width="12.140625" customWidth="1"/>
    <col min="251" max="251" width="29.140625" bestFit="1" customWidth="1"/>
    <col min="252" max="252" width="12.5703125" customWidth="1"/>
    <col min="254" max="254" width="24" customWidth="1"/>
    <col min="255" max="255" width="22.28515625" customWidth="1"/>
    <col min="257" max="257" width="10.140625" bestFit="1" customWidth="1"/>
    <col min="258" max="258" width="12.7109375" bestFit="1" customWidth="1"/>
    <col min="259" max="259" width="12.140625" bestFit="1" customWidth="1"/>
    <col min="260" max="260" width="24.42578125" bestFit="1" customWidth="1"/>
    <col min="505" max="505" width="30.42578125" bestFit="1" customWidth="1"/>
    <col min="506" max="506" width="12.140625" customWidth="1"/>
    <col min="507" max="507" width="29.140625" bestFit="1" customWidth="1"/>
    <col min="508" max="508" width="12.5703125" customWidth="1"/>
    <col min="510" max="510" width="24" customWidth="1"/>
    <col min="511" max="511" width="22.28515625" customWidth="1"/>
    <col min="513" max="513" width="10.140625" bestFit="1" customWidth="1"/>
    <col min="514" max="514" width="12.7109375" bestFit="1" customWidth="1"/>
    <col min="515" max="515" width="12.140625" bestFit="1" customWidth="1"/>
    <col min="516" max="516" width="24.42578125" bestFit="1" customWidth="1"/>
    <col min="761" max="761" width="30.42578125" bestFit="1" customWidth="1"/>
    <col min="762" max="762" width="12.140625" customWidth="1"/>
    <col min="763" max="763" width="29.140625" bestFit="1" customWidth="1"/>
    <col min="764" max="764" width="12.5703125" customWidth="1"/>
    <col min="766" max="766" width="24" customWidth="1"/>
    <col min="767" max="767" width="22.28515625" customWidth="1"/>
    <col min="769" max="769" width="10.140625" bestFit="1" customWidth="1"/>
    <col min="770" max="770" width="12.7109375" bestFit="1" customWidth="1"/>
    <col min="771" max="771" width="12.140625" bestFit="1" customWidth="1"/>
    <col min="772" max="772" width="24.42578125" bestFit="1" customWidth="1"/>
    <col min="1017" max="1017" width="30.42578125" bestFit="1" customWidth="1"/>
    <col min="1018" max="1018" width="12.140625" customWidth="1"/>
    <col min="1019" max="1019" width="29.140625" bestFit="1" customWidth="1"/>
    <col min="1020" max="1020" width="12.5703125" customWidth="1"/>
    <col min="1022" max="1022" width="24" customWidth="1"/>
    <col min="1023" max="1023" width="22.28515625" customWidth="1"/>
    <col min="1025" max="1025" width="10.140625" bestFit="1" customWidth="1"/>
    <col min="1026" max="1026" width="12.7109375" bestFit="1" customWidth="1"/>
    <col min="1027" max="1027" width="12.140625" bestFit="1" customWidth="1"/>
    <col min="1028" max="1028" width="24.42578125" bestFit="1" customWidth="1"/>
    <col min="1273" max="1273" width="30.42578125" bestFit="1" customWidth="1"/>
    <col min="1274" max="1274" width="12.140625" customWidth="1"/>
    <col min="1275" max="1275" width="29.140625" bestFit="1" customWidth="1"/>
    <col min="1276" max="1276" width="12.5703125" customWidth="1"/>
    <col min="1278" max="1278" width="24" customWidth="1"/>
    <col min="1279" max="1279" width="22.28515625" customWidth="1"/>
    <col min="1281" max="1281" width="10.140625" bestFit="1" customWidth="1"/>
    <col min="1282" max="1282" width="12.7109375" bestFit="1" customWidth="1"/>
    <col min="1283" max="1283" width="12.140625" bestFit="1" customWidth="1"/>
    <col min="1284" max="1284" width="24.42578125" bestFit="1" customWidth="1"/>
    <col min="1529" max="1529" width="30.42578125" bestFit="1" customWidth="1"/>
    <col min="1530" max="1530" width="12.140625" customWidth="1"/>
    <col min="1531" max="1531" width="29.140625" bestFit="1" customWidth="1"/>
    <col min="1532" max="1532" width="12.5703125" customWidth="1"/>
    <col min="1534" max="1534" width="24" customWidth="1"/>
    <col min="1535" max="1535" width="22.28515625" customWidth="1"/>
    <col min="1537" max="1537" width="10.140625" bestFit="1" customWidth="1"/>
    <col min="1538" max="1538" width="12.7109375" bestFit="1" customWidth="1"/>
    <col min="1539" max="1539" width="12.140625" bestFit="1" customWidth="1"/>
    <col min="1540" max="1540" width="24.42578125" bestFit="1" customWidth="1"/>
    <col min="1785" max="1785" width="30.42578125" bestFit="1" customWidth="1"/>
    <col min="1786" max="1786" width="12.140625" customWidth="1"/>
    <col min="1787" max="1787" width="29.140625" bestFit="1" customWidth="1"/>
    <col min="1788" max="1788" width="12.5703125" customWidth="1"/>
    <col min="1790" max="1790" width="24" customWidth="1"/>
    <col min="1791" max="1791" width="22.28515625" customWidth="1"/>
    <col min="1793" max="1793" width="10.140625" bestFit="1" customWidth="1"/>
    <col min="1794" max="1794" width="12.7109375" bestFit="1" customWidth="1"/>
    <col min="1795" max="1795" width="12.140625" bestFit="1" customWidth="1"/>
    <col min="1796" max="1796" width="24.42578125" bestFit="1" customWidth="1"/>
    <col min="2041" max="2041" width="30.42578125" bestFit="1" customWidth="1"/>
    <col min="2042" max="2042" width="12.140625" customWidth="1"/>
    <col min="2043" max="2043" width="29.140625" bestFit="1" customWidth="1"/>
    <col min="2044" max="2044" width="12.5703125" customWidth="1"/>
    <col min="2046" max="2046" width="24" customWidth="1"/>
    <col min="2047" max="2047" width="22.28515625" customWidth="1"/>
    <col min="2049" max="2049" width="10.140625" bestFit="1" customWidth="1"/>
    <col min="2050" max="2050" width="12.7109375" bestFit="1" customWidth="1"/>
    <col min="2051" max="2051" width="12.140625" bestFit="1" customWidth="1"/>
    <col min="2052" max="2052" width="24.42578125" bestFit="1" customWidth="1"/>
    <col min="2297" max="2297" width="30.42578125" bestFit="1" customWidth="1"/>
    <col min="2298" max="2298" width="12.140625" customWidth="1"/>
    <col min="2299" max="2299" width="29.140625" bestFit="1" customWidth="1"/>
    <col min="2300" max="2300" width="12.5703125" customWidth="1"/>
    <col min="2302" max="2302" width="24" customWidth="1"/>
    <col min="2303" max="2303" width="22.28515625" customWidth="1"/>
    <col min="2305" max="2305" width="10.140625" bestFit="1" customWidth="1"/>
    <col min="2306" max="2306" width="12.7109375" bestFit="1" customWidth="1"/>
    <col min="2307" max="2307" width="12.140625" bestFit="1" customWidth="1"/>
    <col min="2308" max="2308" width="24.42578125" bestFit="1" customWidth="1"/>
    <col min="2553" max="2553" width="30.42578125" bestFit="1" customWidth="1"/>
    <col min="2554" max="2554" width="12.140625" customWidth="1"/>
    <col min="2555" max="2555" width="29.140625" bestFit="1" customWidth="1"/>
    <col min="2556" max="2556" width="12.5703125" customWidth="1"/>
    <col min="2558" max="2558" width="24" customWidth="1"/>
    <col min="2559" max="2559" width="22.28515625" customWidth="1"/>
    <col min="2561" max="2561" width="10.140625" bestFit="1" customWidth="1"/>
    <col min="2562" max="2562" width="12.7109375" bestFit="1" customWidth="1"/>
    <col min="2563" max="2563" width="12.140625" bestFit="1" customWidth="1"/>
    <col min="2564" max="2564" width="24.42578125" bestFit="1" customWidth="1"/>
    <col min="2809" max="2809" width="30.42578125" bestFit="1" customWidth="1"/>
    <col min="2810" max="2810" width="12.140625" customWidth="1"/>
    <col min="2811" max="2811" width="29.140625" bestFit="1" customWidth="1"/>
    <col min="2812" max="2812" width="12.5703125" customWidth="1"/>
    <col min="2814" max="2814" width="24" customWidth="1"/>
    <col min="2815" max="2815" width="22.28515625" customWidth="1"/>
    <col min="2817" max="2817" width="10.140625" bestFit="1" customWidth="1"/>
    <col min="2818" max="2818" width="12.7109375" bestFit="1" customWidth="1"/>
    <col min="2819" max="2819" width="12.140625" bestFit="1" customWidth="1"/>
    <col min="2820" max="2820" width="24.42578125" bestFit="1" customWidth="1"/>
    <col min="3065" max="3065" width="30.42578125" bestFit="1" customWidth="1"/>
    <col min="3066" max="3066" width="12.140625" customWidth="1"/>
    <col min="3067" max="3067" width="29.140625" bestFit="1" customWidth="1"/>
    <col min="3068" max="3068" width="12.5703125" customWidth="1"/>
    <col min="3070" max="3070" width="24" customWidth="1"/>
    <col min="3071" max="3071" width="22.28515625" customWidth="1"/>
    <col min="3073" max="3073" width="10.140625" bestFit="1" customWidth="1"/>
    <col min="3074" max="3074" width="12.7109375" bestFit="1" customWidth="1"/>
    <col min="3075" max="3075" width="12.140625" bestFit="1" customWidth="1"/>
    <col min="3076" max="3076" width="24.42578125" bestFit="1" customWidth="1"/>
    <col min="3321" max="3321" width="30.42578125" bestFit="1" customWidth="1"/>
    <col min="3322" max="3322" width="12.140625" customWidth="1"/>
    <col min="3323" max="3323" width="29.140625" bestFit="1" customWidth="1"/>
    <col min="3324" max="3324" width="12.5703125" customWidth="1"/>
    <col min="3326" max="3326" width="24" customWidth="1"/>
    <col min="3327" max="3327" width="22.28515625" customWidth="1"/>
    <col min="3329" max="3329" width="10.140625" bestFit="1" customWidth="1"/>
    <col min="3330" max="3330" width="12.7109375" bestFit="1" customWidth="1"/>
    <col min="3331" max="3331" width="12.140625" bestFit="1" customWidth="1"/>
    <col min="3332" max="3332" width="24.42578125" bestFit="1" customWidth="1"/>
    <col min="3577" max="3577" width="30.42578125" bestFit="1" customWidth="1"/>
    <col min="3578" max="3578" width="12.140625" customWidth="1"/>
    <col min="3579" max="3579" width="29.140625" bestFit="1" customWidth="1"/>
    <col min="3580" max="3580" width="12.5703125" customWidth="1"/>
    <col min="3582" max="3582" width="24" customWidth="1"/>
    <col min="3583" max="3583" width="22.28515625" customWidth="1"/>
    <col min="3585" max="3585" width="10.140625" bestFit="1" customWidth="1"/>
    <col min="3586" max="3586" width="12.7109375" bestFit="1" customWidth="1"/>
    <col min="3587" max="3587" width="12.140625" bestFit="1" customWidth="1"/>
    <col min="3588" max="3588" width="24.42578125" bestFit="1" customWidth="1"/>
    <col min="3833" max="3833" width="30.42578125" bestFit="1" customWidth="1"/>
    <col min="3834" max="3834" width="12.140625" customWidth="1"/>
    <col min="3835" max="3835" width="29.140625" bestFit="1" customWidth="1"/>
    <col min="3836" max="3836" width="12.5703125" customWidth="1"/>
    <col min="3838" max="3838" width="24" customWidth="1"/>
    <col min="3839" max="3839" width="22.28515625" customWidth="1"/>
    <col min="3841" max="3841" width="10.140625" bestFit="1" customWidth="1"/>
    <col min="3842" max="3842" width="12.7109375" bestFit="1" customWidth="1"/>
    <col min="3843" max="3843" width="12.140625" bestFit="1" customWidth="1"/>
    <col min="3844" max="3844" width="24.42578125" bestFit="1" customWidth="1"/>
    <col min="4089" max="4089" width="30.42578125" bestFit="1" customWidth="1"/>
    <col min="4090" max="4090" width="12.140625" customWidth="1"/>
    <col min="4091" max="4091" width="29.140625" bestFit="1" customWidth="1"/>
    <col min="4092" max="4092" width="12.5703125" customWidth="1"/>
    <col min="4094" max="4094" width="24" customWidth="1"/>
    <col min="4095" max="4095" width="22.28515625" customWidth="1"/>
    <col min="4097" max="4097" width="10.140625" bestFit="1" customWidth="1"/>
    <col min="4098" max="4098" width="12.7109375" bestFit="1" customWidth="1"/>
    <col min="4099" max="4099" width="12.140625" bestFit="1" customWidth="1"/>
    <col min="4100" max="4100" width="24.42578125" bestFit="1" customWidth="1"/>
    <col min="4345" max="4345" width="30.42578125" bestFit="1" customWidth="1"/>
    <col min="4346" max="4346" width="12.140625" customWidth="1"/>
    <col min="4347" max="4347" width="29.140625" bestFit="1" customWidth="1"/>
    <col min="4348" max="4348" width="12.5703125" customWidth="1"/>
    <col min="4350" max="4350" width="24" customWidth="1"/>
    <col min="4351" max="4351" width="22.28515625" customWidth="1"/>
    <col min="4353" max="4353" width="10.140625" bestFit="1" customWidth="1"/>
    <col min="4354" max="4354" width="12.7109375" bestFit="1" customWidth="1"/>
    <col min="4355" max="4355" width="12.140625" bestFit="1" customWidth="1"/>
    <col min="4356" max="4356" width="24.42578125" bestFit="1" customWidth="1"/>
    <col min="4601" max="4601" width="30.42578125" bestFit="1" customWidth="1"/>
    <col min="4602" max="4602" width="12.140625" customWidth="1"/>
    <col min="4603" max="4603" width="29.140625" bestFit="1" customWidth="1"/>
    <col min="4604" max="4604" width="12.5703125" customWidth="1"/>
    <col min="4606" max="4606" width="24" customWidth="1"/>
    <col min="4607" max="4607" width="22.28515625" customWidth="1"/>
    <col min="4609" max="4609" width="10.140625" bestFit="1" customWidth="1"/>
    <col min="4610" max="4610" width="12.7109375" bestFit="1" customWidth="1"/>
    <col min="4611" max="4611" width="12.140625" bestFit="1" customWidth="1"/>
    <col min="4612" max="4612" width="24.42578125" bestFit="1" customWidth="1"/>
    <col min="4857" max="4857" width="30.42578125" bestFit="1" customWidth="1"/>
    <col min="4858" max="4858" width="12.140625" customWidth="1"/>
    <col min="4859" max="4859" width="29.140625" bestFit="1" customWidth="1"/>
    <col min="4860" max="4860" width="12.5703125" customWidth="1"/>
    <col min="4862" max="4862" width="24" customWidth="1"/>
    <col min="4863" max="4863" width="22.28515625" customWidth="1"/>
    <col min="4865" max="4865" width="10.140625" bestFit="1" customWidth="1"/>
    <col min="4866" max="4866" width="12.7109375" bestFit="1" customWidth="1"/>
    <col min="4867" max="4867" width="12.140625" bestFit="1" customWidth="1"/>
    <col min="4868" max="4868" width="24.42578125" bestFit="1" customWidth="1"/>
    <col min="5113" max="5113" width="30.42578125" bestFit="1" customWidth="1"/>
    <col min="5114" max="5114" width="12.140625" customWidth="1"/>
    <col min="5115" max="5115" width="29.140625" bestFit="1" customWidth="1"/>
    <col min="5116" max="5116" width="12.5703125" customWidth="1"/>
    <col min="5118" max="5118" width="24" customWidth="1"/>
    <col min="5119" max="5119" width="22.28515625" customWidth="1"/>
    <col min="5121" max="5121" width="10.140625" bestFit="1" customWidth="1"/>
    <col min="5122" max="5122" width="12.7109375" bestFit="1" customWidth="1"/>
    <col min="5123" max="5123" width="12.140625" bestFit="1" customWidth="1"/>
    <col min="5124" max="5124" width="24.42578125" bestFit="1" customWidth="1"/>
    <col min="5369" max="5369" width="30.42578125" bestFit="1" customWidth="1"/>
    <col min="5370" max="5370" width="12.140625" customWidth="1"/>
    <col min="5371" max="5371" width="29.140625" bestFit="1" customWidth="1"/>
    <col min="5372" max="5372" width="12.5703125" customWidth="1"/>
    <col min="5374" max="5374" width="24" customWidth="1"/>
    <col min="5375" max="5375" width="22.28515625" customWidth="1"/>
    <col min="5377" max="5377" width="10.140625" bestFit="1" customWidth="1"/>
    <col min="5378" max="5378" width="12.7109375" bestFit="1" customWidth="1"/>
    <col min="5379" max="5379" width="12.140625" bestFit="1" customWidth="1"/>
    <col min="5380" max="5380" width="24.42578125" bestFit="1" customWidth="1"/>
    <col min="5625" max="5625" width="30.42578125" bestFit="1" customWidth="1"/>
    <col min="5626" max="5626" width="12.140625" customWidth="1"/>
    <col min="5627" max="5627" width="29.140625" bestFit="1" customWidth="1"/>
    <col min="5628" max="5628" width="12.5703125" customWidth="1"/>
    <col min="5630" max="5630" width="24" customWidth="1"/>
    <col min="5631" max="5631" width="22.28515625" customWidth="1"/>
    <col min="5633" max="5633" width="10.140625" bestFit="1" customWidth="1"/>
    <col min="5634" max="5634" width="12.7109375" bestFit="1" customWidth="1"/>
    <col min="5635" max="5635" width="12.140625" bestFit="1" customWidth="1"/>
    <col min="5636" max="5636" width="24.42578125" bestFit="1" customWidth="1"/>
    <col min="5881" max="5881" width="30.42578125" bestFit="1" customWidth="1"/>
    <col min="5882" max="5882" width="12.140625" customWidth="1"/>
    <col min="5883" max="5883" width="29.140625" bestFit="1" customWidth="1"/>
    <col min="5884" max="5884" width="12.5703125" customWidth="1"/>
    <col min="5886" max="5886" width="24" customWidth="1"/>
    <col min="5887" max="5887" width="22.28515625" customWidth="1"/>
    <col min="5889" max="5889" width="10.140625" bestFit="1" customWidth="1"/>
    <col min="5890" max="5890" width="12.7109375" bestFit="1" customWidth="1"/>
    <col min="5891" max="5891" width="12.140625" bestFit="1" customWidth="1"/>
    <col min="5892" max="5892" width="24.42578125" bestFit="1" customWidth="1"/>
    <col min="6137" max="6137" width="30.42578125" bestFit="1" customWidth="1"/>
    <col min="6138" max="6138" width="12.140625" customWidth="1"/>
    <col min="6139" max="6139" width="29.140625" bestFit="1" customWidth="1"/>
    <col min="6140" max="6140" width="12.5703125" customWidth="1"/>
    <col min="6142" max="6142" width="24" customWidth="1"/>
    <col min="6143" max="6143" width="22.28515625" customWidth="1"/>
    <col min="6145" max="6145" width="10.140625" bestFit="1" customWidth="1"/>
    <col min="6146" max="6146" width="12.7109375" bestFit="1" customWidth="1"/>
    <col min="6147" max="6147" width="12.140625" bestFit="1" customWidth="1"/>
    <col min="6148" max="6148" width="24.42578125" bestFit="1" customWidth="1"/>
    <col min="6393" max="6393" width="30.42578125" bestFit="1" customWidth="1"/>
    <col min="6394" max="6394" width="12.140625" customWidth="1"/>
    <col min="6395" max="6395" width="29.140625" bestFit="1" customWidth="1"/>
    <col min="6396" max="6396" width="12.5703125" customWidth="1"/>
    <col min="6398" max="6398" width="24" customWidth="1"/>
    <col min="6399" max="6399" width="22.28515625" customWidth="1"/>
    <col min="6401" max="6401" width="10.140625" bestFit="1" customWidth="1"/>
    <col min="6402" max="6402" width="12.7109375" bestFit="1" customWidth="1"/>
    <col min="6403" max="6403" width="12.140625" bestFit="1" customWidth="1"/>
    <col min="6404" max="6404" width="24.42578125" bestFit="1" customWidth="1"/>
    <col min="6649" max="6649" width="30.42578125" bestFit="1" customWidth="1"/>
    <col min="6650" max="6650" width="12.140625" customWidth="1"/>
    <col min="6651" max="6651" width="29.140625" bestFit="1" customWidth="1"/>
    <col min="6652" max="6652" width="12.5703125" customWidth="1"/>
    <col min="6654" max="6654" width="24" customWidth="1"/>
    <col min="6655" max="6655" width="22.28515625" customWidth="1"/>
    <col min="6657" max="6657" width="10.140625" bestFit="1" customWidth="1"/>
    <col min="6658" max="6658" width="12.7109375" bestFit="1" customWidth="1"/>
    <col min="6659" max="6659" width="12.140625" bestFit="1" customWidth="1"/>
    <col min="6660" max="6660" width="24.42578125" bestFit="1" customWidth="1"/>
    <col min="6905" max="6905" width="30.42578125" bestFit="1" customWidth="1"/>
    <col min="6906" max="6906" width="12.140625" customWidth="1"/>
    <col min="6907" max="6907" width="29.140625" bestFit="1" customWidth="1"/>
    <col min="6908" max="6908" width="12.5703125" customWidth="1"/>
    <col min="6910" max="6910" width="24" customWidth="1"/>
    <col min="6911" max="6911" width="22.28515625" customWidth="1"/>
    <col min="6913" max="6913" width="10.140625" bestFit="1" customWidth="1"/>
    <col min="6914" max="6914" width="12.7109375" bestFit="1" customWidth="1"/>
    <col min="6915" max="6915" width="12.140625" bestFit="1" customWidth="1"/>
    <col min="6916" max="6916" width="24.42578125" bestFit="1" customWidth="1"/>
    <col min="7161" max="7161" width="30.42578125" bestFit="1" customWidth="1"/>
    <col min="7162" max="7162" width="12.140625" customWidth="1"/>
    <col min="7163" max="7163" width="29.140625" bestFit="1" customWidth="1"/>
    <col min="7164" max="7164" width="12.5703125" customWidth="1"/>
    <col min="7166" max="7166" width="24" customWidth="1"/>
    <col min="7167" max="7167" width="22.28515625" customWidth="1"/>
    <col min="7169" max="7169" width="10.140625" bestFit="1" customWidth="1"/>
    <col min="7170" max="7170" width="12.7109375" bestFit="1" customWidth="1"/>
    <col min="7171" max="7171" width="12.140625" bestFit="1" customWidth="1"/>
    <col min="7172" max="7172" width="24.42578125" bestFit="1" customWidth="1"/>
    <col min="7417" max="7417" width="30.42578125" bestFit="1" customWidth="1"/>
    <col min="7418" max="7418" width="12.140625" customWidth="1"/>
    <col min="7419" max="7419" width="29.140625" bestFit="1" customWidth="1"/>
    <col min="7420" max="7420" width="12.5703125" customWidth="1"/>
    <col min="7422" max="7422" width="24" customWidth="1"/>
    <col min="7423" max="7423" width="22.28515625" customWidth="1"/>
    <col min="7425" max="7425" width="10.140625" bestFit="1" customWidth="1"/>
    <col min="7426" max="7426" width="12.7109375" bestFit="1" customWidth="1"/>
    <col min="7427" max="7427" width="12.140625" bestFit="1" customWidth="1"/>
    <col min="7428" max="7428" width="24.42578125" bestFit="1" customWidth="1"/>
    <col min="7673" max="7673" width="30.42578125" bestFit="1" customWidth="1"/>
    <col min="7674" max="7674" width="12.140625" customWidth="1"/>
    <col min="7675" max="7675" width="29.140625" bestFit="1" customWidth="1"/>
    <col min="7676" max="7676" width="12.5703125" customWidth="1"/>
    <col min="7678" max="7678" width="24" customWidth="1"/>
    <col min="7679" max="7679" width="22.28515625" customWidth="1"/>
    <col min="7681" max="7681" width="10.140625" bestFit="1" customWidth="1"/>
    <col min="7682" max="7682" width="12.7109375" bestFit="1" customWidth="1"/>
    <col min="7683" max="7683" width="12.140625" bestFit="1" customWidth="1"/>
    <col min="7684" max="7684" width="24.42578125" bestFit="1" customWidth="1"/>
    <col min="7929" max="7929" width="30.42578125" bestFit="1" customWidth="1"/>
    <col min="7930" max="7930" width="12.140625" customWidth="1"/>
    <col min="7931" max="7931" width="29.140625" bestFit="1" customWidth="1"/>
    <col min="7932" max="7932" width="12.5703125" customWidth="1"/>
    <col min="7934" max="7934" width="24" customWidth="1"/>
    <col min="7935" max="7935" width="22.28515625" customWidth="1"/>
    <col min="7937" max="7937" width="10.140625" bestFit="1" customWidth="1"/>
    <col min="7938" max="7938" width="12.7109375" bestFit="1" customWidth="1"/>
    <col min="7939" max="7939" width="12.140625" bestFit="1" customWidth="1"/>
    <col min="7940" max="7940" width="24.42578125" bestFit="1" customWidth="1"/>
    <col min="8185" max="8185" width="30.42578125" bestFit="1" customWidth="1"/>
    <col min="8186" max="8186" width="12.140625" customWidth="1"/>
    <col min="8187" max="8187" width="29.140625" bestFit="1" customWidth="1"/>
    <col min="8188" max="8188" width="12.5703125" customWidth="1"/>
    <col min="8190" max="8190" width="24" customWidth="1"/>
    <col min="8191" max="8191" width="22.28515625" customWidth="1"/>
    <col min="8193" max="8193" width="10.140625" bestFit="1" customWidth="1"/>
    <col min="8194" max="8194" width="12.7109375" bestFit="1" customWidth="1"/>
    <col min="8195" max="8195" width="12.140625" bestFit="1" customWidth="1"/>
    <col min="8196" max="8196" width="24.42578125" bestFit="1" customWidth="1"/>
    <col min="8441" max="8441" width="30.42578125" bestFit="1" customWidth="1"/>
    <col min="8442" max="8442" width="12.140625" customWidth="1"/>
    <col min="8443" max="8443" width="29.140625" bestFit="1" customWidth="1"/>
    <col min="8444" max="8444" width="12.5703125" customWidth="1"/>
    <col min="8446" max="8446" width="24" customWidth="1"/>
    <col min="8447" max="8447" width="22.28515625" customWidth="1"/>
    <col min="8449" max="8449" width="10.140625" bestFit="1" customWidth="1"/>
    <col min="8450" max="8450" width="12.7109375" bestFit="1" customWidth="1"/>
    <col min="8451" max="8451" width="12.140625" bestFit="1" customWidth="1"/>
    <col min="8452" max="8452" width="24.42578125" bestFit="1" customWidth="1"/>
    <col min="8697" max="8697" width="30.42578125" bestFit="1" customWidth="1"/>
    <col min="8698" max="8698" width="12.140625" customWidth="1"/>
    <col min="8699" max="8699" width="29.140625" bestFit="1" customWidth="1"/>
    <col min="8700" max="8700" width="12.5703125" customWidth="1"/>
    <col min="8702" max="8702" width="24" customWidth="1"/>
    <col min="8703" max="8703" width="22.28515625" customWidth="1"/>
    <col min="8705" max="8705" width="10.140625" bestFit="1" customWidth="1"/>
    <col min="8706" max="8706" width="12.7109375" bestFit="1" customWidth="1"/>
    <col min="8707" max="8707" width="12.140625" bestFit="1" customWidth="1"/>
    <col min="8708" max="8708" width="24.42578125" bestFit="1" customWidth="1"/>
    <col min="8953" max="8953" width="30.42578125" bestFit="1" customWidth="1"/>
    <col min="8954" max="8954" width="12.140625" customWidth="1"/>
    <col min="8955" max="8955" width="29.140625" bestFit="1" customWidth="1"/>
    <col min="8956" max="8956" width="12.5703125" customWidth="1"/>
    <col min="8958" max="8958" width="24" customWidth="1"/>
    <col min="8959" max="8959" width="22.28515625" customWidth="1"/>
    <col min="8961" max="8961" width="10.140625" bestFit="1" customWidth="1"/>
    <col min="8962" max="8962" width="12.7109375" bestFit="1" customWidth="1"/>
    <col min="8963" max="8963" width="12.140625" bestFit="1" customWidth="1"/>
    <col min="8964" max="8964" width="24.42578125" bestFit="1" customWidth="1"/>
    <col min="9209" max="9209" width="30.42578125" bestFit="1" customWidth="1"/>
    <col min="9210" max="9210" width="12.140625" customWidth="1"/>
    <col min="9211" max="9211" width="29.140625" bestFit="1" customWidth="1"/>
    <col min="9212" max="9212" width="12.5703125" customWidth="1"/>
    <col min="9214" max="9214" width="24" customWidth="1"/>
    <col min="9215" max="9215" width="22.28515625" customWidth="1"/>
    <col min="9217" max="9217" width="10.140625" bestFit="1" customWidth="1"/>
    <col min="9218" max="9218" width="12.7109375" bestFit="1" customWidth="1"/>
    <col min="9219" max="9219" width="12.140625" bestFit="1" customWidth="1"/>
    <col min="9220" max="9220" width="24.42578125" bestFit="1" customWidth="1"/>
    <col min="9465" max="9465" width="30.42578125" bestFit="1" customWidth="1"/>
    <col min="9466" max="9466" width="12.140625" customWidth="1"/>
    <col min="9467" max="9467" width="29.140625" bestFit="1" customWidth="1"/>
    <col min="9468" max="9468" width="12.5703125" customWidth="1"/>
    <col min="9470" max="9470" width="24" customWidth="1"/>
    <col min="9471" max="9471" width="22.28515625" customWidth="1"/>
    <col min="9473" max="9473" width="10.140625" bestFit="1" customWidth="1"/>
    <col min="9474" max="9474" width="12.7109375" bestFit="1" customWidth="1"/>
    <col min="9475" max="9475" width="12.140625" bestFit="1" customWidth="1"/>
    <col min="9476" max="9476" width="24.42578125" bestFit="1" customWidth="1"/>
    <col min="9721" max="9721" width="30.42578125" bestFit="1" customWidth="1"/>
    <col min="9722" max="9722" width="12.140625" customWidth="1"/>
    <col min="9723" max="9723" width="29.140625" bestFit="1" customWidth="1"/>
    <col min="9724" max="9724" width="12.5703125" customWidth="1"/>
    <col min="9726" max="9726" width="24" customWidth="1"/>
    <col min="9727" max="9727" width="22.28515625" customWidth="1"/>
    <col min="9729" max="9729" width="10.140625" bestFit="1" customWidth="1"/>
    <col min="9730" max="9730" width="12.7109375" bestFit="1" customWidth="1"/>
    <col min="9731" max="9731" width="12.140625" bestFit="1" customWidth="1"/>
    <col min="9732" max="9732" width="24.42578125" bestFit="1" customWidth="1"/>
    <col min="9977" max="9977" width="30.42578125" bestFit="1" customWidth="1"/>
    <col min="9978" max="9978" width="12.140625" customWidth="1"/>
    <col min="9979" max="9979" width="29.140625" bestFit="1" customWidth="1"/>
    <col min="9980" max="9980" width="12.5703125" customWidth="1"/>
    <col min="9982" max="9982" width="24" customWidth="1"/>
    <col min="9983" max="9983" width="22.28515625" customWidth="1"/>
    <col min="9985" max="9985" width="10.140625" bestFit="1" customWidth="1"/>
    <col min="9986" max="9986" width="12.7109375" bestFit="1" customWidth="1"/>
    <col min="9987" max="9987" width="12.140625" bestFit="1" customWidth="1"/>
    <col min="9988" max="9988" width="24.42578125" bestFit="1" customWidth="1"/>
    <col min="10233" max="10233" width="30.42578125" bestFit="1" customWidth="1"/>
    <col min="10234" max="10234" width="12.140625" customWidth="1"/>
    <col min="10235" max="10235" width="29.140625" bestFit="1" customWidth="1"/>
    <col min="10236" max="10236" width="12.5703125" customWidth="1"/>
    <col min="10238" max="10238" width="24" customWidth="1"/>
    <col min="10239" max="10239" width="22.28515625" customWidth="1"/>
    <col min="10241" max="10241" width="10.140625" bestFit="1" customWidth="1"/>
    <col min="10242" max="10242" width="12.7109375" bestFit="1" customWidth="1"/>
    <col min="10243" max="10243" width="12.140625" bestFit="1" customWidth="1"/>
    <col min="10244" max="10244" width="24.42578125" bestFit="1" customWidth="1"/>
    <col min="10489" max="10489" width="30.42578125" bestFit="1" customWidth="1"/>
    <col min="10490" max="10490" width="12.140625" customWidth="1"/>
    <col min="10491" max="10491" width="29.140625" bestFit="1" customWidth="1"/>
    <col min="10492" max="10492" width="12.5703125" customWidth="1"/>
    <col min="10494" max="10494" width="24" customWidth="1"/>
    <col min="10495" max="10495" width="22.28515625" customWidth="1"/>
    <col min="10497" max="10497" width="10.140625" bestFit="1" customWidth="1"/>
    <col min="10498" max="10498" width="12.7109375" bestFit="1" customWidth="1"/>
    <col min="10499" max="10499" width="12.140625" bestFit="1" customWidth="1"/>
    <col min="10500" max="10500" width="24.42578125" bestFit="1" customWidth="1"/>
    <col min="10745" max="10745" width="30.42578125" bestFit="1" customWidth="1"/>
    <col min="10746" max="10746" width="12.140625" customWidth="1"/>
    <col min="10747" max="10747" width="29.140625" bestFit="1" customWidth="1"/>
    <col min="10748" max="10748" width="12.5703125" customWidth="1"/>
    <col min="10750" max="10750" width="24" customWidth="1"/>
    <col min="10751" max="10751" width="22.28515625" customWidth="1"/>
    <col min="10753" max="10753" width="10.140625" bestFit="1" customWidth="1"/>
    <col min="10754" max="10754" width="12.7109375" bestFit="1" customWidth="1"/>
    <col min="10755" max="10755" width="12.140625" bestFit="1" customWidth="1"/>
    <col min="10756" max="10756" width="24.42578125" bestFit="1" customWidth="1"/>
    <col min="11001" max="11001" width="30.42578125" bestFit="1" customWidth="1"/>
    <col min="11002" max="11002" width="12.140625" customWidth="1"/>
    <col min="11003" max="11003" width="29.140625" bestFit="1" customWidth="1"/>
    <col min="11004" max="11004" width="12.5703125" customWidth="1"/>
    <col min="11006" max="11006" width="24" customWidth="1"/>
    <col min="11007" max="11007" width="22.28515625" customWidth="1"/>
    <col min="11009" max="11009" width="10.140625" bestFit="1" customWidth="1"/>
    <col min="11010" max="11010" width="12.7109375" bestFit="1" customWidth="1"/>
    <col min="11011" max="11011" width="12.140625" bestFit="1" customWidth="1"/>
    <col min="11012" max="11012" width="24.42578125" bestFit="1" customWidth="1"/>
    <col min="11257" max="11257" width="30.42578125" bestFit="1" customWidth="1"/>
    <col min="11258" max="11258" width="12.140625" customWidth="1"/>
    <col min="11259" max="11259" width="29.140625" bestFit="1" customWidth="1"/>
    <col min="11260" max="11260" width="12.5703125" customWidth="1"/>
    <col min="11262" max="11262" width="24" customWidth="1"/>
    <col min="11263" max="11263" width="22.28515625" customWidth="1"/>
    <col min="11265" max="11265" width="10.140625" bestFit="1" customWidth="1"/>
    <col min="11266" max="11266" width="12.7109375" bestFit="1" customWidth="1"/>
    <col min="11267" max="11267" width="12.140625" bestFit="1" customWidth="1"/>
    <col min="11268" max="11268" width="24.42578125" bestFit="1" customWidth="1"/>
    <col min="11513" max="11513" width="30.42578125" bestFit="1" customWidth="1"/>
    <col min="11514" max="11514" width="12.140625" customWidth="1"/>
    <col min="11515" max="11515" width="29.140625" bestFit="1" customWidth="1"/>
    <col min="11516" max="11516" width="12.5703125" customWidth="1"/>
    <col min="11518" max="11518" width="24" customWidth="1"/>
    <col min="11519" max="11519" width="22.28515625" customWidth="1"/>
    <col min="11521" max="11521" width="10.140625" bestFit="1" customWidth="1"/>
    <col min="11522" max="11522" width="12.7109375" bestFit="1" customWidth="1"/>
    <col min="11523" max="11523" width="12.140625" bestFit="1" customWidth="1"/>
    <col min="11524" max="11524" width="24.42578125" bestFit="1" customWidth="1"/>
    <col min="11769" max="11769" width="30.42578125" bestFit="1" customWidth="1"/>
    <col min="11770" max="11770" width="12.140625" customWidth="1"/>
    <col min="11771" max="11771" width="29.140625" bestFit="1" customWidth="1"/>
    <col min="11772" max="11772" width="12.5703125" customWidth="1"/>
    <col min="11774" max="11774" width="24" customWidth="1"/>
    <col min="11775" max="11775" width="22.28515625" customWidth="1"/>
    <col min="11777" max="11777" width="10.140625" bestFit="1" customWidth="1"/>
    <col min="11778" max="11778" width="12.7109375" bestFit="1" customWidth="1"/>
    <col min="11779" max="11779" width="12.140625" bestFit="1" customWidth="1"/>
    <col min="11780" max="11780" width="24.42578125" bestFit="1" customWidth="1"/>
    <col min="12025" max="12025" width="30.42578125" bestFit="1" customWidth="1"/>
    <col min="12026" max="12026" width="12.140625" customWidth="1"/>
    <col min="12027" max="12027" width="29.140625" bestFit="1" customWidth="1"/>
    <col min="12028" max="12028" width="12.5703125" customWidth="1"/>
    <col min="12030" max="12030" width="24" customWidth="1"/>
    <col min="12031" max="12031" width="22.28515625" customWidth="1"/>
    <col min="12033" max="12033" width="10.140625" bestFit="1" customWidth="1"/>
    <col min="12034" max="12034" width="12.7109375" bestFit="1" customWidth="1"/>
    <col min="12035" max="12035" width="12.140625" bestFit="1" customWidth="1"/>
    <col min="12036" max="12036" width="24.42578125" bestFit="1" customWidth="1"/>
    <col min="12281" max="12281" width="30.42578125" bestFit="1" customWidth="1"/>
    <col min="12282" max="12282" width="12.140625" customWidth="1"/>
    <col min="12283" max="12283" width="29.140625" bestFit="1" customWidth="1"/>
    <col min="12284" max="12284" width="12.5703125" customWidth="1"/>
    <col min="12286" max="12286" width="24" customWidth="1"/>
    <col min="12287" max="12287" width="22.28515625" customWidth="1"/>
    <col min="12289" max="12289" width="10.140625" bestFit="1" customWidth="1"/>
    <col min="12290" max="12290" width="12.7109375" bestFit="1" customWidth="1"/>
    <col min="12291" max="12291" width="12.140625" bestFit="1" customWidth="1"/>
    <col min="12292" max="12292" width="24.42578125" bestFit="1" customWidth="1"/>
    <col min="12537" max="12537" width="30.42578125" bestFit="1" customWidth="1"/>
    <col min="12538" max="12538" width="12.140625" customWidth="1"/>
    <col min="12539" max="12539" width="29.140625" bestFit="1" customWidth="1"/>
    <col min="12540" max="12540" width="12.5703125" customWidth="1"/>
    <col min="12542" max="12542" width="24" customWidth="1"/>
    <col min="12543" max="12543" width="22.28515625" customWidth="1"/>
    <col min="12545" max="12545" width="10.140625" bestFit="1" customWidth="1"/>
    <col min="12546" max="12546" width="12.7109375" bestFit="1" customWidth="1"/>
    <col min="12547" max="12547" width="12.140625" bestFit="1" customWidth="1"/>
    <col min="12548" max="12548" width="24.42578125" bestFit="1" customWidth="1"/>
    <col min="12793" max="12793" width="30.42578125" bestFit="1" customWidth="1"/>
    <col min="12794" max="12794" width="12.140625" customWidth="1"/>
    <col min="12795" max="12795" width="29.140625" bestFit="1" customWidth="1"/>
    <col min="12796" max="12796" width="12.5703125" customWidth="1"/>
    <col min="12798" max="12798" width="24" customWidth="1"/>
    <col min="12799" max="12799" width="22.28515625" customWidth="1"/>
    <col min="12801" max="12801" width="10.140625" bestFit="1" customWidth="1"/>
    <col min="12802" max="12802" width="12.7109375" bestFit="1" customWidth="1"/>
    <col min="12803" max="12803" width="12.140625" bestFit="1" customWidth="1"/>
    <col min="12804" max="12804" width="24.42578125" bestFit="1" customWidth="1"/>
    <col min="13049" max="13049" width="30.42578125" bestFit="1" customWidth="1"/>
    <col min="13050" max="13050" width="12.140625" customWidth="1"/>
    <col min="13051" max="13051" width="29.140625" bestFit="1" customWidth="1"/>
    <col min="13052" max="13052" width="12.5703125" customWidth="1"/>
    <col min="13054" max="13054" width="24" customWidth="1"/>
    <col min="13055" max="13055" width="22.28515625" customWidth="1"/>
    <col min="13057" max="13057" width="10.140625" bestFit="1" customWidth="1"/>
    <col min="13058" max="13058" width="12.7109375" bestFit="1" customWidth="1"/>
    <col min="13059" max="13059" width="12.140625" bestFit="1" customWidth="1"/>
    <col min="13060" max="13060" width="24.42578125" bestFit="1" customWidth="1"/>
    <col min="13305" max="13305" width="30.42578125" bestFit="1" customWidth="1"/>
    <col min="13306" max="13306" width="12.140625" customWidth="1"/>
    <col min="13307" max="13307" width="29.140625" bestFit="1" customWidth="1"/>
    <col min="13308" max="13308" width="12.5703125" customWidth="1"/>
    <col min="13310" max="13310" width="24" customWidth="1"/>
    <col min="13311" max="13311" width="22.28515625" customWidth="1"/>
    <col min="13313" max="13313" width="10.140625" bestFit="1" customWidth="1"/>
    <col min="13314" max="13314" width="12.7109375" bestFit="1" customWidth="1"/>
    <col min="13315" max="13315" width="12.140625" bestFit="1" customWidth="1"/>
    <col min="13316" max="13316" width="24.42578125" bestFit="1" customWidth="1"/>
    <col min="13561" max="13561" width="30.42578125" bestFit="1" customWidth="1"/>
    <col min="13562" max="13562" width="12.140625" customWidth="1"/>
    <col min="13563" max="13563" width="29.140625" bestFit="1" customWidth="1"/>
    <col min="13564" max="13564" width="12.5703125" customWidth="1"/>
    <col min="13566" max="13566" width="24" customWidth="1"/>
    <col min="13567" max="13567" width="22.28515625" customWidth="1"/>
    <col min="13569" max="13569" width="10.140625" bestFit="1" customWidth="1"/>
    <col min="13570" max="13570" width="12.7109375" bestFit="1" customWidth="1"/>
    <col min="13571" max="13571" width="12.140625" bestFit="1" customWidth="1"/>
    <col min="13572" max="13572" width="24.42578125" bestFit="1" customWidth="1"/>
    <col min="13817" max="13817" width="30.42578125" bestFit="1" customWidth="1"/>
    <col min="13818" max="13818" width="12.140625" customWidth="1"/>
    <col min="13819" max="13819" width="29.140625" bestFit="1" customWidth="1"/>
    <col min="13820" max="13820" width="12.5703125" customWidth="1"/>
    <col min="13822" max="13822" width="24" customWidth="1"/>
    <col min="13823" max="13823" width="22.28515625" customWidth="1"/>
    <col min="13825" max="13825" width="10.140625" bestFit="1" customWidth="1"/>
    <col min="13826" max="13826" width="12.7109375" bestFit="1" customWidth="1"/>
    <col min="13827" max="13827" width="12.140625" bestFit="1" customWidth="1"/>
    <col min="13828" max="13828" width="24.42578125" bestFit="1" customWidth="1"/>
    <col min="14073" max="14073" width="30.42578125" bestFit="1" customWidth="1"/>
    <col min="14074" max="14074" width="12.140625" customWidth="1"/>
    <col min="14075" max="14075" width="29.140625" bestFit="1" customWidth="1"/>
    <col min="14076" max="14076" width="12.5703125" customWidth="1"/>
    <col min="14078" max="14078" width="24" customWidth="1"/>
    <col min="14079" max="14079" width="22.28515625" customWidth="1"/>
    <col min="14081" max="14081" width="10.140625" bestFit="1" customWidth="1"/>
    <col min="14082" max="14082" width="12.7109375" bestFit="1" customWidth="1"/>
    <col min="14083" max="14083" width="12.140625" bestFit="1" customWidth="1"/>
    <col min="14084" max="14084" width="24.42578125" bestFit="1" customWidth="1"/>
    <col min="14329" max="14329" width="30.42578125" bestFit="1" customWidth="1"/>
    <col min="14330" max="14330" width="12.140625" customWidth="1"/>
    <col min="14331" max="14331" width="29.140625" bestFit="1" customWidth="1"/>
    <col min="14332" max="14332" width="12.5703125" customWidth="1"/>
    <col min="14334" max="14334" width="24" customWidth="1"/>
    <col min="14335" max="14335" width="22.28515625" customWidth="1"/>
    <col min="14337" max="14337" width="10.140625" bestFit="1" customWidth="1"/>
    <col min="14338" max="14338" width="12.7109375" bestFit="1" customWidth="1"/>
    <col min="14339" max="14339" width="12.140625" bestFit="1" customWidth="1"/>
    <col min="14340" max="14340" width="24.42578125" bestFit="1" customWidth="1"/>
    <col min="14585" max="14585" width="30.42578125" bestFit="1" customWidth="1"/>
    <col min="14586" max="14586" width="12.140625" customWidth="1"/>
    <col min="14587" max="14587" width="29.140625" bestFit="1" customWidth="1"/>
    <col min="14588" max="14588" width="12.5703125" customWidth="1"/>
    <col min="14590" max="14590" width="24" customWidth="1"/>
    <col min="14591" max="14591" width="22.28515625" customWidth="1"/>
    <col min="14593" max="14593" width="10.140625" bestFit="1" customWidth="1"/>
    <col min="14594" max="14594" width="12.7109375" bestFit="1" customWidth="1"/>
    <col min="14595" max="14595" width="12.140625" bestFit="1" customWidth="1"/>
    <col min="14596" max="14596" width="24.42578125" bestFit="1" customWidth="1"/>
    <col min="14841" max="14841" width="30.42578125" bestFit="1" customWidth="1"/>
    <col min="14842" max="14842" width="12.140625" customWidth="1"/>
    <col min="14843" max="14843" width="29.140625" bestFit="1" customWidth="1"/>
    <col min="14844" max="14844" width="12.5703125" customWidth="1"/>
    <col min="14846" max="14846" width="24" customWidth="1"/>
    <col min="14847" max="14847" width="22.28515625" customWidth="1"/>
    <col min="14849" max="14849" width="10.140625" bestFit="1" customWidth="1"/>
    <col min="14850" max="14850" width="12.7109375" bestFit="1" customWidth="1"/>
    <col min="14851" max="14851" width="12.140625" bestFit="1" customWidth="1"/>
    <col min="14852" max="14852" width="24.42578125" bestFit="1" customWidth="1"/>
    <col min="15097" max="15097" width="30.42578125" bestFit="1" customWidth="1"/>
    <col min="15098" max="15098" width="12.140625" customWidth="1"/>
    <col min="15099" max="15099" width="29.140625" bestFit="1" customWidth="1"/>
    <col min="15100" max="15100" width="12.5703125" customWidth="1"/>
    <col min="15102" max="15102" width="24" customWidth="1"/>
    <col min="15103" max="15103" width="22.28515625" customWidth="1"/>
    <col min="15105" max="15105" width="10.140625" bestFit="1" customWidth="1"/>
    <col min="15106" max="15106" width="12.7109375" bestFit="1" customWidth="1"/>
    <col min="15107" max="15107" width="12.140625" bestFit="1" customWidth="1"/>
    <col min="15108" max="15108" width="24.42578125" bestFit="1" customWidth="1"/>
    <col min="15353" max="15353" width="30.42578125" bestFit="1" customWidth="1"/>
    <col min="15354" max="15354" width="12.140625" customWidth="1"/>
    <col min="15355" max="15355" width="29.140625" bestFit="1" customWidth="1"/>
    <col min="15356" max="15356" width="12.5703125" customWidth="1"/>
    <col min="15358" max="15358" width="24" customWidth="1"/>
    <col min="15359" max="15359" width="22.28515625" customWidth="1"/>
    <col min="15361" max="15361" width="10.140625" bestFit="1" customWidth="1"/>
    <col min="15362" max="15362" width="12.7109375" bestFit="1" customWidth="1"/>
    <col min="15363" max="15363" width="12.140625" bestFit="1" customWidth="1"/>
    <col min="15364" max="15364" width="24.42578125" bestFit="1" customWidth="1"/>
    <col min="15609" max="15609" width="30.42578125" bestFit="1" customWidth="1"/>
    <col min="15610" max="15610" width="12.140625" customWidth="1"/>
    <col min="15611" max="15611" width="29.140625" bestFit="1" customWidth="1"/>
    <col min="15612" max="15612" width="12.5703125" customWidth="1"/>
    <col min="15614" max="15614" width="24" customWidth="1"/>
    <col min="15615" max="15615" width="22.28515625" customWidth="1"/>
    <col min="15617" max="15617" width="10.140625" bestFit="1" customWidth="1"/>
    <col min="15618" max="15618" width="12.7109375" bestFit="1" customWidth="1"/>
    <col min="15619" max="15619" width="12.140625" bestFit="1" customWidth="1"/>
    <col min="15620" max="15620" width="24.42578125" bestFit="1" customWidth="1"/>
    <col min="15865" max="15865" width="30.42578125" bestFit="1" customWidth="1"/>
    <col min="15866" max="15866" width="12.140625" customWidth="1"/>
    <col min="15867" max="15867" width="29.140625" bestFit="1" customWidth="1"/>
    <col min="15868" max="15868" width="12.5703125" customWidth="1"/>
    <col min="15870" max="15870" width="24" customWidth="1"/>
    <col min="15871" max="15871" width="22.28515625" customWidth="1"/>
    <col min="15873" max="15873" width="10.140625" bestFit="1" customWidth="1"/>
    <col min="15874" max="15874" width="12.7109375" bestFit="1" customWidth="1"/>
    <col min="15875" max="15875" width="12.140625" bestFit="1" customWidth="1"/>
    <col min="15876" max="15876" width="24.42578125" bestFit="1" customWidth="1"/>
    <col min="16121" max="16121" width="30.42578125" bestFit="1" customWidth="1"/>
    <col min="16122" max="16122" width="12.140625" customWidth="1"/>
    <col min="16123" max="16123" width="29.140625" bestFit="1" customWidth="1"/>
    <col min="16124" max="16124" width="12.5703125" customWidth="1"/>
    <col min="16126" max="16126" width="24" customWidth="1"/>
    <col min="16127" max="16127" width="22.28515625" customWidth="1"/>
    <col min="16129" max="16129" width="10.140625" bestFit="1" customWidth="1"/>
    <col min="16130" max="16130" width="12.7109375" bestFit="1" customWidth="1"/>
    <col min="16131" max="16131" width="12.140625" bestFit="1" customWidth="1"/>
    <col min="16132" max="16132" width="24.42578125" bestFit="1" customWidth="1"/>
  </cols>
  <sheetData>
    <row r="1" spans="1:26" ht="15.75" customHeight="1" thickBot="1" x14ac:dyDescent="0.3">
      <c r="B1" s="123">
        <v>42186</v>
      </c>
      <c r="C1" s="123"/>
      <c r="D1" s="7"/>
      <c r="E1" s="124" t="s">
        <v>8</v>
      </c>
      <c r="F1" s="125"/>
      <c r="G1" s="125"/>
      <c r="H1" s="126"/>
      <c r="I1" s="127"/>
      <c r="J1" s="3">
        <v>30</v>
      </c>
      <c r="K1" s="3">
        <v>30</v>
      </c>
      <c r="L1" s="3">
        <v>30</v>
      </c>
      <c r="M1" s="3">
        <v>35</v>
      </c>
      <c r="N1" s="3">
        <v>30</v>
      </c>
      <c r="O1" s="3">
        <v>25</v>
      </c>
      <c r="P1" s="3">
        <v>25</v>
      </c>
      <c r="Q1" s="3">
        <v>30</v>
      </c>
      <c r="R1" s="3">
        <v>35</v>
      </c>
      <c r="S1" s="3">
        <v>35</v>
      </c>
      <c r="T1" s="3">
        <v>30</v>
      </c>
      <c r="U1" s="3">
        <v>35</v>
      </c>
      <c r="V1" s="3">
        <v>35</v>
      </c>
      <c r="W1" s="3">
        <v>30</v>
      </c>
      <c r="X1" s="3">
        <v>30</v>
      </c>
      <c r="Y1" s="129" t="s">
        <v>25</v>
      </c>
      <c r="Z1" s="25">
        <f ca="1">TODAY()</f>
        <v>45273</v>
      </c>
    </row>
    <row r="2" spans="1:26" ht="30" customHeight="1" x14ac:dyDescent="0.25">
      <c r="B2" s="131" t="s">
        <v>1</v>
      </c>
      <c r="C2" s="132"/>
      <c r="E2" s="35" t="s">
        <v>12</v>
      </c>
      <c r="F2" s="36" t="s">
        <v>9</v>
      </c>
      <c r="G2" s="36" t="s">
        <v>10</v>
      </c>
      <c r="H2" s="4" t="s">
        <v>11</v>
      </c>
      <c r="I2" s="128"/>
      <c r="J2" s="23" t="s">
        <v>22</v>
      </c>
      <c r="K2" s="23" t="s">
        <v>5</v>
      </c>
      <c r="L2" s="23" t="s">
        <v>13</v>
      </c>
      <c r="M2" s="23" t="s">
        <v>14</v>
      </c>
      <c r="N2" s="23" t="s">
        <v>15</v>
      </c>
      <c r="O2" s="23" t="s">
        <v>56</v>
      </c>
      <c r="P2" s="23" t="s">
        <v>55</v>
      </c>
      <c r="Q2" s="23" t="s">
        <v>23</v>
      </c>
      <c r="R2" s="23" t="s">
        <v>57</v>
      </c>
      <c r="S2" s="23" t="s">
        <v>26</v>
      </c>
      <c r="T2" s="23" t="s">
        <v>19</v>
      </c>
      <c r="U2" s="23" t="s">
        <v>20</v>
      </c>
      <c r="V2" s="23" t="s">
        <v>21</v>
      </c>
      <c r="W2" s="23" t="s">
        <v>36</v>
      </c>
      <c r="X2" s="23" t="s">
        <v>41</v>
      </c>
      <c r="Y2" s="130"/>
    </row>
    <row r="3" spans="1:26" ht="15.75" thickBot="1" x14ac:dyDescent="0.3">
      <c r="B3" s="49" t="s">
        <v>0</v>
      </c>
      <c r="C3" s="50" t="s">
        <v>2</v>
      </c>
      <c r="E3" s="32">
        <f>B1</f>
        <v>42186</v>
      </c>
      <c r="F3" s="71"/>
      <c r="G3" s="71"/>
      <c r="H3" s="72"/>
      <c r="I3" s="31">
        <f>E3</f>
        <v>42186</v>
      </c>
      <c r="J3" s="37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9"/>
      <c r="Y3" s="61">
        <f>SUM(J3:X3)</f>
        <v>0</v>
      </c>
    </row>
    <row r="4" spans="1:26" ht="15.75" thickBot="1" x14ac:dyDescent="0.3">
      <c r="B4" s="14" t="s">
        <v>3</v>
      </c>
      <c r="C4" s="15">
        <f>F34</f>
        <v>31140</v>
      </c>
      <c r="E4" s="32">
        <f>E3+1</f>
        <v>42187</v>
      </c>
      <c r="F4" s="71"/>
      <c r="G4" s="71"/>
      <c r="H4" s="72"/>
      <c r="I4" s="31">
        <f t="shared" ref="I4:I33" si="0">E4</f>
        <v>42187</v>
      </c>
      <c r="J4" s="40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2"/>
      <c r="Y4" s="62">
        <f>SUM(J4:X4)</f>
        <v>0</v>
      </c>
    </row>
    <row r="5" spans="1:26" ht="15" customHeight="1" thickBot="1" x14ac:dyDescent="0.3">
      <c r="A5" s="51"/>
      <c r="E5" s="32">
        <f t="shared" ref="E5:E33" si="1">E4+1</f>
        <v>42188</v>
      </c>
      <c r="F5" s="71"/>
      <c r="G5" s="71">
        <f>125</f>
        <v>125</v>
      </c>
      <c r="H5" s="72" t="s">
        <v>107</v>
      </c>
      <c r="I5" s="31">
        <f t="shared" si="0"/>
        <v>42188</v>
      </c>
      <c r="J5" s="40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2"/>
      <c r="Y5" s="62">
        <f t="shared" ref="Y5:Y33" si="2">SUM(J5:X5)</f>
        <v>0</v>
      </c>
    </row>
    <row r="6" spans="1:26" ht="15" customHeight="1" x14ac:dyDescent="0.25">
      <c r="A6" s="139" t="s">
        <v>42</v>
      </c>
      <c r="B6" s="76" t="s">
        <v>7</v>
      </c>
      <c r="C6" s="11">
        <v>4000</v>
      </c>
      <c r="E6" s="32">
        <f t="shared" si="1"/>
        <v>42189</v>
      </c>
      <c r="F6" s="71">
        <f>5150-200</f>
        <v>4950</v>
      </c>
      <c r="G6" s="71"/>
      <c r="H6" s="72" t="s">
        <v>3</v>
      </c>
      <c r="I6" s="31">
        <f t="shared" si="0"/>
        <v>42189</v>
      </c>
      <c r="J6" s="40">
        <v>19</v>
      </c>
      <c r="K6" s="41">
        <v>6</v>
      </c>
      <c r="L6" s="41">
        <v>8</v>
      </c>
      <c r="M6" s="41">
        <v>35</v>
      </c>
      <c r="N6" s="41">
        <v>19</v>
      </c>
      <c r="O6" s="41">
        <v>6</v>
      </c>
      <c r="P6" s="41">
        <v>8</v>
      </c>
      <c r="Q6" s="41">
        <v>27</v>
      </c>
      <c r="R6" s="41">
        <v>3</v>
      </c>
      <c r="S6" s="41">
        <v>10</v>
      </c>
      <c r="T6" s="41">
        <v>7</v>
      </c>
      <c r="U6" s="41">
        <v>24</v>
      </c>
      <c r="V6" s="41">
        <v>9</v>
      </c>
      <c r="W6" s="41">
        <v>6</v>
      </c>
      <c r="X6" s="42">
        <v>6</v>
      </c>
      <c r="Y6" s="62">
        <f t="shared" si="2"/>
        <v>193</v>
      </c>
    </row>
    <row r="7" spans="1:26" x14ac:dyDescent="0.25">
      <c r="A7" s="140"/>
      <c r="B7" s="77" t="s">
        <v>43</v>
      </c>
      <c r="C7" s="12">
        <v>40</v>
      </c>
      <c r="E7" s="32">
        <f t="shared" si="1"/>
        <v>42190</v>
      </c>
      <c r="F7" s="71"/>
      <c r="G7" s="71"/>
      <c r="H7" s="119"/>
      <c r="I7" s="31">
        <f t="shared" si="0"/>
        <v>42190</v>
      </c>
      <c r="J7" s="40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2"/>
      <c r="Y7" s="62">
        <f t="shared" si="2"/>
        <v>0</v>
      </c>
    </row>
    <row r="8" spans="1:26" x14ac:dyDescent="0.25">
      <c r="A8" s="140"/>
      <c r="B8" s="77" t="s">
        <v>4</v>
      </c>
      <c r="C8" s="13">
        <f>(INDEX('[1]Кредит Сатурн'!$C:$C,MATCH(B1,'[1]Кредит Сатурн'!$A:$A,0)))</f>
        <v>2064</v>
      </c>
      <c r="E8" s="32">
        <f t="shared" si="1"/>
        <v>42191</v>
      </c>
      <c r="F8" s="71"/>
      <c r="G8" s="71"/>
      <c r="H8" s="72"/>
      <c r="I8" s="31">
        <f t="shared" si="0"/>
        <v>42191</v>
      </c>
      <c r="J8" s="40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2"/>
      <c r="Y8" s="62">
        <f t="shared" si="2"/>
        <v>0</v>
      </c>
    </row>
    <row r="9" spans="1:26" x14ac:dyDescent="0.25">
      <c r="A9" s="140"/>
      <c r="B9" s="77" t="s">
        <v>27</v>
      </c>
      <c r="C9" s="12">
        <f>'[2]Расход ингредиентов'!$D$166</f>
        <v>3600</v>
      </c>
      <c r="E9" s="32">
        <f t="shared" si="1"/>
        <v>42192</v>
      </c>
      <c r="F9" s="71"/>
      <c r="G9" s="71"/>
      <c r="H9" s="72"/>
      <c r="I9" s="31">
        <f t="shared" si="0"/>
        <v>42192</v>
      </c>
      <c r="J9" s="40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2"/>
      <c r="Y9" s="62">
        <f t="shared" si="2"/>
        <v>0</v>
      </c>
    </row>
    <row r="10" spans="1:26" x14ac:dyDescent="0.25">
      <c r="A10" s="140"/>
      <c r="B10" s="77" t="s">
        <v>44</v>
      </c>
      <c r="C10" s="12">
        <f>'[2]Расход ингредиентов'!$D$163</f>
        <v>500.75187969924809</v>
      </c>
      <c r="E10" s="32">
        <f t="shared" si="1"/>
        <v>42193</v>
      </c>
      <c r="F10" s="71"/>
      <c r="G10" s="71"/>
      <c r="H10" s="72"/>
      <c r="I10" s="31">
        <f t="shared" si="0"/>
        <v>42193</v>
      </c>
      <c r="J10" s="40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2"/>
      <c r="Y10" s="62">
        <f t="shared" si="2"/>
        <v>0</v>
      </c>
    </row>
    <row r="11" spans="1:26" x14ac:dyDescent="0.25">
      <c r="A11" s="140"/>
      <c r="B11" s="77" t="s">
        <v>38</v>
      </c>
      <c r="C11" s="12">
        <f>'[2]Расход ингредиентов'!$D$162</f>
        <v>-790</v>
      </c>
      <c r="E11" s="32">
        <f t="shared" si="1"/>
        <v>42194</v>
      </c>
      <c r="F11" s="71"/>
      <c r="G11" s="71"/>
      <c r="H11" s="72"/>
      <c r="I11" s="31">
        <f t="shared" si="0"/>
        <v>42194</v>
      </c>
      <c r="J11" s="40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2"/>
      <c r="Y11" s="62">
        <f t="shared" si="2"/>
        <v>0</v>
      </c>
    </row>
    <row r="12" spans="1:26" x14ac:dyDescent="0.25">
      <c r="A12" s="140"/>
      <c r="B12" s="77" t="s">
        <v>39</v>
      </c>
      <c r="C12" s="12">
        <v>0</v>
      </c>
      <c r="E12" s="32">
        <f t="shared" si="1"/>
        <v>42195</v>
      </c>
      <c r="F12" s="71"/>
      <c r="G12" s="71"/>
      <c r="H12" s="72"/>
      <c r="I12" s="31">
        <f t="shared" si="0"/>
        <v>42195</v>
      </c>
      <c r="J12" s="40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2"/>
      <c r="Y12" s="62">
        <f t="shared" si="2"/>
        <v>0</v>
      </c>
    </row>
    <row r="13" spans="1:26" x14ac:dyDescent="0.25">
      <c r="A13" s="140"/>
      <c r="B13" s="77" t="s">
        <v>31</v>
      </c>
      <c r="C13" s="18">
        <v>3300</v>
      </c>
      <c r="E13" s="32">
        <f t="shared" si="1"/>
        <v>42196</v>
      </c>
      <c r="F13" s="71">
        <f>5230</f>
        <v>5230</v>
      </c>
      <c r="G13" s="71">
        <f>260</f>
        <v>260</v>
      </c>
      <c r="H13" s="72" t="s">
        <v>108</v>
      </c>
      <c r="I13" s="31">
        <f t="shared" si="0"/>
        <v>42196</v>
      </c>
      <c r="J13" s="40">
        <v>15</v>
      </c>
      <c r="K13" s="41">
        <v>14</v>
      </c>
      <c r="L13" s="41">
        <v>4</v>
      </c>
      <c r="M13" s="41">
        <v>45</v>
      </c>
      <c r="N13" s="41">
        <v>19</v>
      </c>
      <c r="O13" s="41">
        <v>14</v>
      </c>
      <c r="P13" s="41">
        <v>8</v>
      </c>
      <c r="Q13" s="41">
        <v>21</v>
      </c>
      <c r="R13" s="41">
        <v>5</v>
      </c>
      <c r="S13" s="41">
        <v>8</v>
      </c>
      <c r="T13" s="41">
        <v>10</v>
      </c>
      <c r="U13" s="41">
        <v>7</v>
      </c>
      <c r="V13" s="41">
        <v>14</v>
      </c>
      <c r="W13" s="41">
        <v>28</v>
      </c>
      <c r="X13" s="42">
        <v>9</v>
      </c>
      <c r="Y13" s="62">
        <f t="shared" si="2"/>
        <v>221</v>
      </c>
    </row>
    <row r="14" spans="1:26" x14ac:dyDescent="0.25">
      <c r="A14" s="140"/>
      <c r="B14" s="77" t="s">
        <v>46</v>
      </c>
      <c r="C14" s="18">
        <v>1430</v>
      </c>
      <c r="E14" s="32">
        <f t="shared" si="1"/>
        <v>42197</v>
      </c>
      <c r="F14" s="71"/>
      <c r="G14" s="71"/>
      <c r="H14" s="119"/>
      <c r="I14" s="31">
        <f t="shared" si="0"/>
        <v>42197</v>
      </c>
      <c r="J14" s="40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2"/>
      <c r="Y14" s="62">
        <f t="shared" si="2"/>
        <v>0</v>
      </c>
    </row>
    <row r="15" spans="1:26" x14ac:dyDescent="0.25">
      <c r="A15" s="140"/>
      <c r="B15" s="77" t="s">
        <v>45</v>
      </c>
      <c r="C15" s="12">
        <f>G5+G13+G27</f>
        <v>581</v>
      </c>
      <c r="E15" s="32">
        <f t="shared" si="1"/>
        <v>42198</v>
      </c>
      <c r="F15" s="71"/>
      <c r="G15" s="71"/>
      <c r="H15" s="72"/>
      <c r="I15" s="31">
        <f t="shared" si="0"/>
        <v>42198</v>
      </c>
      <c r="J15" s="40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62">
        <f t="shared" si="2"/>
        <v>0</v>
      </c>
    </row>
    <row r="16" spans="1:26" ht="15.75" thickBot="1" x14ac:dyDescent="0.3">
      <c r="A16" s="141"/>
      <c r="B16" s="78" t="s">
        <v>47</v>
      </c>
      <c r="C16" s="53">
        <f>SUM(C6:C15)</f>
        <v>14725.751879699248</v>
      </c>
      <c r="E16" s="32">
        <f t="shared" si="1"/>
        <v>42199</v>
      </c>
      <c r="F16" s="71"/>
      <c r="G16" s="71"/>
      <c r="H16" s="72"/>
      <c r="I16" s="31">
        <f t="shared" si="0"/>
        <v>42199</v>
      </c>
      <c r="J16" s="40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2"/>
      <c r="Y16" s="62">
        <f t="shared" si="2"/>
        <v>0</v>
      </c>
    </row>
    <row r="17" spans="1:25" ht="15.75" thickBot="1" x14ac:dyDescent="0.3">
      <c r="E17" s="32">
        <f t="shared" si="1"/>
        <v>42200</v>
      </c>
      <c r="F17" s="71"/>
      <c r="G17" s="71"/>
      <c r="H17" s="72"/>
      <c r="I17" s="31">
        <f t="shared" si="0"/>
        <v>42200</v>
      </c>
      <c r="J17" s="40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2"/>
      <c r="Y17" s="62">
        <f t="shared" si="2"/>
        <v>0</v>
      </c>
    </row>
    <row r="18" spans="1:25" ht="15.75" thickBot="1" x14ac:dyDescent="0.3">
      <c r="B18" s="16" t="s">
        <v>32</v>
      </c>
      <c r="C18" s="17">
        <f>C4-C16</f>
        <v>16414.248120300752</v>
      </c>
      <c r="E18" s="32">
        <f t="shared" si="1"/>
        <v>42201</v>
      </c>
      <c r="F18" s="71"/>
      <c r="G18" s="71"/>
      <c r="H18" s="72"/>
      <c r="I18" s="31">
        <f t="shared" si="0"/>
        <v>42201</v>
      </c>
      <c r="J18" s="40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2"/>
      <c r="Y18" s="62">
        <f t="shared" si="2"/>
        <v>0</v>
      </c>
    </row>
    <row r="19" spans="1:25" ht="15.75" thickBot="1" x14ac:dyDescent="0.3">
      <c r="E19" s="32">
        <f t="shared" si="1"/>
        <v>42202</v>
      </c>
      <c r="F19" s="71"/>
      <c r="G19" s="71"/>
      <c r="H19" s="72"/>
      <c r="I19" s="31">
        <f t="shared" si="0"/>
        <v>42202</v>
      </c>
      <c r="J19" s="40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2"/>
      <c r="Y19" s="62">
        <f t="shared" si="2"/>
        <v>0</v>
      </c>
    </row>
    <row r="20" spans="1:25" ht="15.75" thickBot="1" x14ac:dyDescent="0.3">
      <c r="B20" s="16" t="s">
        <v>48</v>
      </c>
      <c r="C20" s="17">
        <f>CEILING(C6+C8,100)</f>
        <v>6100</v>
      </c>
      <c r="E20" s="32">
        <f t="shared" si="1"/>
        <v>42203</v>
      </c>
      <c r="F20" s="71">
        <v>6430</v>
      </c>
      <c r="G20" s="71"/>
      <c r="H20" s="72" t="s">
        <v>3</v>
      </c>
      <c r="I20" s="31">
        <f t="shared" si="0"/>
        <v>42203</v>
      </c>
      <c r="J20" s="40">
        <v>15</v>
      </c>
      <c r="K20" s="41">
        <v>12</v>
      </c>
      <c r="L20" s="41">
        <v>11</v>
      </c>
      <c r="M20" s="41">
        <v>55</v>
      </c>
      <c r="N20" s="41">
        <v>16</v>
      </c>
      <c r="O20" s="41">
        <v>10</v>
      </c>
      <c r="P20" s="41">
        <v>5</v>
      </c>
      <c r="Q20" s="41">
        <v>52</v>
      </c>
      <c r="R20" s="41">
        <v>6</v>
      </c>
      <c r="S20" s="41">
        <v>5</v>
      </c>
      <c r="T20" s="41">
        <v>11</v>
      </c>
      <c r="U20" s="41">
        <v>7</v>
      </c>
      <c r="V20" s="41">
        <v>9</v>
      </c>
      <c r="W20" s="41">
        <v>12</v>
      </c>
      <c r="X20" s="42">
        <v>7</v>
      </c>
      <c r="Y20" s="62">
        <f t="shared" si="2"/>
        <v>233</v>
      </c>
    </row>
    <row r="21" spans="1:25" ht="15.75" thickBot="1" x14ac:dyDescent="0.3">
      <c r="E21" s="32">
        <f>E20+1</f>
        <v>42204</v>
      </c>
      <c r="F21" s="71"/>
      <c r="G21" s="71"/>
      <c r="H21" s="72"/>
      <c r="I21" s="31">
        <f t="shared" si="0"/>
        <v>42204</v>
      </c>
      <c r="J21" s="40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2"/>
      <c r="Y21" s="62">
        <f t="shared" si="2"/>
        <v>0</v>
      </c>
    </row>
    <row r="22" spans="1:25" ht="15.75" thickBot="1" x14ac:dyDescent="0.3">
      <c r="B22" s="52" t="s">
        <v>53</v>
      </c>
      <c r="C22" s="63">
        <f>C18</f>
        <v>16414.248120300752</v>
      </c>
      <c r="E22" s="32">
        <f t="shared" si="1"/>
        <v>42205</v>
      </c>
      <c r="F22" s="71"/>
      <c r="G22" s="71"/>
      <c r="H22" s="72"/>
      <c r="I22" s="31">
        <f t="shared" si="0"/>
        <v>42205</v>
      </c>
      <c r="J22" s="40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2"/>
      <c r="Y22" s="62">
        <f t="shared" si="2"/>
        <v>0</v>
      </c>
    </row>
    <row r="23" spans="1:25" ht="15" customHeight="1" x14ac:dyDescent="0.25">
      <c r="A23" s="133" t="s">
        <v>49</v>
      </c>
      <c r="B23" s="58" t="s">
        <v>50</v>
      </c>
      <c r="C23" s="59">
        <v>0</v>
      </c>
      <c r="E23" s="32">
        <f t="shared" si="1"/>
        <v>42206</v>
      </c>
      <c r="F23" s="71"/>
      <c r="G23" s="71"/>
      <c r="H23" s="72"/>
      <c r="I23" s="31">
        <f t="shared" si="0"/>
        <v>42206</v>
      </c>
      <c r="J23" s="40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2"/>
      <c r="Y23" s="62">
        <f t="shared" si="2"/>
        <v>0</v>
      </c>
    </row>
    <row r="24" spans="1:25" x14ac:dyDescent="0.25">
      <c r="A24" s="134"/>
      <c r="B24" s="54" t="s">
        <v>40</v>
      </c>
      <c r="C24" s="55">
        <v>0</v>
      </c>
      <c r="E24" s="32">
        <f t="shared" si="1"/>
        <v>42207</v>
      </c>
      <c r="F24" s="71"/>
      <c r="G24" s="71"/>
      <c r="H24" s="72"/>
      <c r="I24" s="31">
        <f t="shared" si="0"/>
        <v>42207</v>
      </c>
      <c r="J24" s="40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2"/>
      <c r="Y24" s="62">
        <f t="shared" si="2"/>
        <v>0</v>
      </c>
    </row>
    <row r="25" spans="1:25" x14ac:dyDescent="0.25">
      <c r="A25" s="134"/>
      <c r="B25" s="54" t="s">
        <v>51</v>
      </c>
      <c r="C25" s="55">
        <v>0</v>
      </c>
      <c r="E25" s="32">
        <f t="shared" si="1"/>
        <v>42208</v>
      </c>
      <c r="F25" s="71"/>
      <c r="G25" s="71"/>
      <c r="H25" s="72"/>
      <c r="I25" s="31">
        <f t="shared" si="0"/>
        <v>42208</v>
      </c>
      <c r="J25" s="40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2"/>
      <c r="Y25" s="62">
        <f t="shared" si="2"/>
        <v>0</v>
      </c>
    </row>
    <row r="26" spans="1:25" ht="15.75" thickBot="1" x14ac:dyDescent="0.3">
      <c r="A26" s="134"/>
      <c r="B26" s="57" t="s">
        <v>52</v>
      </c>
      <c r="C26" s="56">
        <v>0</v>
      </c>
      <c r="E26" s="32">
        <f t="shared" si="1"/>
        <v>42209</v>
      </c>
      <c r="F26" s="71"/>
      <c r="G26" s="71"/>
      <c r="H26" s="72"/>
      <c r="I26" s="31">
        <f t="shared" si="0"/>
        <v>42209</v>
      </c>
      <c r="J26" s="40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2"/>
      <c r="Y26" s="62">
        <f t="shared" si="2"/>
        <v>0</v>
      </c>
    </row>
    <row r="27" spans="1:25" ht="15.75" thickBot="1" x14ac:dyDescent="0.3">
      <c r="A27" s="134"/>
      <c r="B27" s="52" t="s">
        <v>54</v>
      </c>
      <c r="C27" s="60">
        <f>C22-SUM(C23:C26)</f>
        <v>16414.248120300752</v>
      </c>
      <c r="E27" s="32">
        <f t="shared" si="1"/>
        <v>42210</v>
      </c>
      <c r="F27" s="71">
        <f>5230</f>
        <v>5230</v>
      </c>
      <c r="G27" s="71">
        <f>302-59-47</f>
        <v>196</v>
      </c>
      <c r="H27" s="72" t="s">
        <v>109</v>
      </c>
      <c r="I27" s="31">
        <f t="shared" si="0"/>
        <v>42210</v>
      </c>
      <c r="J27" s="40">
        <v>15</v>
      </c>
      <c r="K27" s="41">
        <v>7</v>
      </c>
      <c r="L27" s="41">
        <v>2</v>
      </c>
      <c r="M27" s="41">
        <v>40</v>
      </c>
      <c r="N27" s="41">
        <v>25</v>
      </c>
      <c r="O27" s="41">
        <v>8</v>
      </c>
      <c r="P27" s="41">
        <v>1</v>
      </c>
      <c r="Q27" s="41">
        <v>16</v>
      </c>
      <c r="R27" s="41">
        <v>5</v>
      </c>
      <c r="S27" s="41">
        <v>8</v>
      </c>
      <c r="T27" s="41">
        <v>13</v>
      </c>
      <c r="U27" s="41">
        <v>8</v>
      </c>
      <c r="V27" s="41">
        <v>10</v>
      </c>
      <c r="W27" s="41">
        <v>2</v>
      </c>
      <c r="X27" s="42">
        <v>23</v>
      </c>
      <c r="Y27" s="62">
        <f t="shared" si="2"/>
        <v>183</v>
      </c>
    </row>
    <row r="28" spans="1:25" ht="15.75" thickBot="1" x14ac:dyDescent="0.3">
      <c r="A28" s="135"/>
      <c r="B28" s="33"/>
      <c r="C28" s="34"/>
      <c r="E28" s="32">
        <f t="shared" si="1"/>
        <v>42211</v>
      </c>
      <c r="F28" s="71"/>
      <c r="G28" s="29"/>
      <c r="H28" s="120"/>
      <c r="I28" s="31">
        <f t="shared" si="0"/>
        <v>42211</v>
      </c>
      <c r="J28" s="40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2"/>
      <c r="Y28" s="62">
        <f t="shared" si="2"/>
        <v>0</v>
      </c>
    </row>
    <row r="29" spans="1:25" ht="15.75" thickBot="1" x14ac:dyDescent="0.3">
      <c r="B29" s="16" t="s">
        <v>28</v>
      </c>
      <c r="C29" s="17">
        <f>'7'!G35+'6'!C29</f>
        <v>204116</v>
      </c>
      <c r="E29" s="32">
        <f t="shared" si="1"/>
        <v>42212</v>
      </c>
      <c r="F29" s="71"/>
      <c r="G29" s="71"/>
      <c r="H29" s="72"/>
      <c r="I29" s="31">
        <f t="shared" si="0"/>
        <v>42212</v>
      </c>
      <c r="J29" s="40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2"/>
      <c r="Y29" s="62">
        <f t="shared" si="2"/>
        <v>0</v>
      </c>
    </row>
    <row r="30" spans="1:25" x14ac:dyDescent="0.25">
      <c r="B30" s="46"/>
      <c r="C30" s="47"/>
      <c r="E30" s="32">
        <f t="shared" si="1"/>
        <v>42213</v>
      </c>
      <c r="F30" s="29"/>
      <c r="G30" s="29"/>
      <c r="H30" s="72"/>
      <c r="I30" s="31">
        <f t="shared" si="0"/>
        <v>42213</v>
      </c>
      <c r="J30" s="40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2"/>
      <c r="Y30" s="62">
        <f t="shared" si="2"/>
        <v>0</v>
      </c>
    </row>
    <row r="31" spans="1:25" x14ac:dyDescent="0.25">
      <c r="B31" s="43"/>
      <c r="C31" s="48"/>
      <c r="E31" s="32">
        <f t="shared" si="1"/>
        <v>42214</v>
      </c>
      <c r="F31" s="29"/>
      <c r="G31" s="29"/>
      <c r="H31" s="72"/>
      <c r="I31" s="31">
        <f t="shared" si="0"/>
        <v>42214</v>
      </c>
      <c r="J31" s="40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2"/>
      <c r="Y31" s="62">
        <f t="shared" si="2"/>
        <v>0</v>
      </c>
    </row>
    <row r="32" spans="1:25" x14ac:dyDescent="0.25">
      <c r="B32" s="43"/>
      <c r="C32" s="48"/>
      <c r="E32" s="32">
        <f t="shared" si="1"/>
        <v>42215</v>
      </c>
      <c r="F32" s="29">
        <v>3800</v>
      </c>
      <c r="G32" s="29"/>
      <c r="H32" s="72" t="s">
        <v>110</v>
      </c>
      <c r="I32" s="31">
        <f t="shared" si="0"/>
        <v>42215</v>
      </c>
      <c r="J32" s="40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2"/>
      <c r="Y32" s="62">
        <f t="shared" si="2"/>
        <v>0</v>
      </c>
    </row>
    <row r="33" spans="2:25" ht="15.75" thickBot="1" x14ac:dyDescent="0.3">
      <c r="B33" s="33"/>
      <c r="C33" s="34"/>
      <c r="E33" s="32">
        <f t="shared" si="1"/>
        <v>42216</v>
      </c>
      <c r="F33" s="29">
        <v>5500</v>
      </c>
      <c r="G33" s="29"/>
      <c r="H33" s="72" t="s">
        <v>3</v>
      </c>
      <c r="I33" s="31">
        <f t="shared" si="0"/>
        <v>42216</v>
      </c>
      <c r="J33" s="40">
        <v>14</v>
      </c>
      <c r="K33" s="41">
        <v>4</v>
      </c>
      <c r="L33" s="41">
        <v>1</v>
      </c>
      <c r="M33" s="41">
        <v>42</v>
      </c>
      <c r="N33" s="41">
        <v>20</v>
      </c>
      <c r="O33" s="41">
        <v>9</v>
      </c>
      <c r="P33" s="41">
        <v>7</v>
      </c>
      <c r="Q33" s="41">
        <v>18</v>
      </c>
      <c r="R33" s="41">
        <v>8</v>
      </c>
      <c r="S33" s="41">
        <v>20</v>
      </c>
      <c r="T33" s="41">
        <v>14</v>
      </c>
      <c r="U33" s="41">
        <v>10</v>
      </c>
      <c r="V33" s="41">
        <v>6</v>
      </c>
      <c r="W33" s="41">
        <v>4</v>
      </c>
      <c r="X33" s="42">
        <v>7</v>
      </c>
      <c r="Y33" s="62">
        <f t="shared" si="2"/>
        <v>184</v>
      </c>
    </row>
    <row r="34" spans="2:25" ht="15.75" thickBot="1" x14ac:dyDescent="0.3">
      <c r="B34" s="43"/>
      <c r="C34" s="48"/>
      <c r="E34" s="19" t="s">
        <v>6</v>
      </c>
      <c r="F34" s="6">
        <f>SUM(F3:F33)</f>
        <v>31140</v>
      </c>
      <c r="G34" s="6">
        <f>SUM(G3:G33)</f>
        <v>581</v>
      </c>
      <c r="H34" s="2"/>
      <c r="I34" s="22" t="s">
        <v>33</v>
      </c>
      <c r="J34" s="24">
        <f t="shared" ref="J34:Y34" si="3">SUM(J3:J33)</f>
        <v>78</v>
      </c>
      <c r="K34" s="24">
        <f t="shared" si="3"/>
        <v>43</v>
      </c>
      <c r="L34" s="24">
        <f t="shared" si="3"/>
        <v>26</v>
      </c>
      <c r="M34" s="24">
        <f t="shared" si="3"/>
        <v>217</v>
      </c>
      <c r="N34" s="24">
        <f t="shared" si="3"/>
        <v>99</v>
      </c>
      <c r="O34" s="24">
        <f t="shared" si="3"/>
        <v>47</v>
      </c>
      <c r="P34" s="24">
        <f t="shared" si="3"/>
        <v>29</v>
      </c>
      <c r="Q34" s="24">
        <f t="shared" si="3"/>
        <v>134</v>
      </c>
      <c r="R34" s="24">
        <f t="shared" si="3"/>
        <v>27</v>
      </c>
      <c r="S34" s="24">
        <f t="shared" si="3"/>
        <v>51</v>
      </c>
      <c r="T34" s="24">
        <f t="shared" si="3"/>
        <v>55</v>
      </c>
      <c r="U34" s="24">
        <f t="shared" si="3"/>
        <v>56</v>
      </c>
      <c r="V34" s="24">
        <f t="shared" si="3"/>
        <v>48</v>
      </c>
      <c r="W34" s="24">
        <f t="shared" si="3"/>
        <v>52</v>
      </c>
      <c r="X34" s="24">
        <f t="shared" si="3"/>
        <v>52</v>
      </c>
      <c r="Y34" s="24">
        <f t="shared" si="3"/>
        <v>1014</v>
      </c>
    </row>
    <row r="35" spans="2:25" ht="15.75" thickBot="1" x14ac:dyDescent="0.3">
      <c r="B35" s="43"/>
      <c r="C35" s="48"/>
      <c r="E35" s="136" t="s">
        <v>37</v>
      </c>
      <c r="F35" s="137"/>
      <c r="G35" s="1">
        <f>F34-G34</f>
        <v>30559</v>
      </c>
      <c r="I35"/>
    </row>
    <row r="36" spans="2:25" ht="24" x14ac:dyDescent="0.25">
      <c r="B36" s="43"/>
      <c r="C36" s="48"/>
      <c r="J36" s="8" t="s">
        <v>22</v>
      </c>
      <c r="K36" s="8" t="s">
        <v>5</v>
      </c>
      <c r="L36" s="8" t="s">
        <v>13</v>
      </c>
      <c r="M36" s="8" t="s">
        <v>14</v>
      </c>
      <c r="N36" s="8" t="s">
        <v>15</v>
      </c>
      <c r="O36" s="8" t="s">
        <v>16</v>
      </c>
      <c r="P36" s="8" t="s">
        <v>17</v>
      </c>
      <c r="Q36" s="8" t="s">
        <v>23</v>
      </c>
      <c r="R36" s="8" t="s">
        <v>24</v>
      </c>
      <c r="S36" s="8" t="s">
        <v>26</v>
      </c>
      <c r="T36" s="8" t="s">
        <v>19</v>
      </c>
      <c r="U36" s="8" t="s">
        <v>20</v>
      </c>
      <c r="V36" s="8" t="s">
        <v>21</v>
      </c>
      <c r="W36" s="8" t="s">
        <v>36</v>
      </c>
      <c r="X36" s="8" t="s">
        <v>18</v>
      </c>
    </row>
    <row r="37" spans="2:25" ht="15.75" thickBot="1" x14ac:dyDescent="0.3">
      <c r="B37" s="43"/>
      <c r="C37" s="48"/>
      <c r="J37" s="9">
        <f>J34</f>
        <v>78</v>
      </c>
      <c r="K37" s="9">
        <f t="shared" ref="K37:X37" si="4">K34</f>
        <v>43</v>
      </c>
      <c r="L37" s="9">
        <f t="shared" si="4"/>
        <v>26</v>
      </c>
      <c r="M37" s="9">
        <f t="shared" si="4"/>
        <v>217</v>
      </c>
      <c r="N37" s="9">
        <f t="shared" si="4"/>
        <v>99</v>
      </c>
      <c r="O37" s="9">
        <f t="shared" si="4"/>
        <v>47</v>
      </c>
      <c r="P37" s="9">
        <f t="shared" si="4"/>
        <v>29</v>
      </c>
      <c r="Q37" s="9">
        <f t="shared" si="4"/>
        <v>134</v>
      </c>
      <c r="R37" s="9">
        <f t="shared" si="4"/>
        <v>27</v>
      </c>
      <c r="S37" s="9">
        <f t="shared" si="4"/>
        <v>51</v>
      </c>
      <c r="T37" s="9">
        <f t="shared" si="4"/>
        <v>55</v>
      </c>
      <c r="U37" s="9">
        <f t="shared" si="4"/>
        <v>56</v>
      </c>
      <c r="V37" s="9">
        <f t="shared" si="4"/>
        <v>48</v>
      </c>
      <c r="W37" s="9">
        <f t="shared" si="4"/>
        <v>52</v>
      </c>
      <c r="X37" s="9">
        <f t="shared" si="4"/>
        <v>52</v>
      </c>
    </row>
    <row r="38" spans="2:25" x14ac:dyDescent="0.25">
      <c r="B38" s="45"/>
      <c r="C38" s="45"/>
      <c r="I38" s="21"/>
      <c r="J38" s="10">
        <f>J34*'[3]Себестоимость '!D17</f>
        <v>726.05000000000007</v>
      </c>
      <c r="K38" s="10">
        <f>K34*'[3]Себестоимость '!E17</f>
        <v>356.61333333333334</v>
      </c>
      <c r="L38" s="10">
        <f>L34*'[3]Себестоимость '!F17</f>
        <v>230.83666666666667</v>
      </c>
      <c r="M38" s="10">
        <f>M34*'[3]Себестоимость '!G17</f>
        <v>2083.9233333333332</v>
      </c>
      <c r="N38" s="10">
        <f>N34*'[3]Себестоимость '!H17</f>
        <v>902.12099999999987</v>
      </c>
      <c r="O38" s="10">
        <f>O34*'[3]Себестоимость '!I17</f>
        <v>170.29666666666668</v>
      </c>
      <c r="P38" s="10" t="e">
        <f>P34*'[3]Себестоимость '!J17</f>
        <v>#REF!</v>
      </c>
      <c r="Q38" s="10">
        <f>Q34*'[3]Себестоимость '!K17</f>
        <v>431.47999999999996</v>
      </c>
      <c r="R38" s="10">
        <f>R34*'[3]Себестоимость '!L17</f>
        <v>122.31</v>
      </c>
      <c r="S38" s="10">
        <f>S34*'[3]Себестоимость '!M17</f>
        <v>174.77700000000002</v>
      </c>
      <c r="T38" s="10">
        <f>T34*'[3]Себестоимость '!N17</f>
        <v>203.77500000000001</v>
      </c>
      <c r="U38" s="10">
        <f>U34*'[3]Себестоимость '!O17</f>
        <v>286.44</v>
      </c>
      <c r="V38" s="10">
        <f>V34*'[3]Себестоимость '!P17</f>
        <v>212.64</v>
      </c>
      <c r="W38" s="10">
        <f>W34*'[3]Себестоимость '!Q17</f>
        <v>252.97999999999996</v>
      </c>
      <c r="X38" s="10">
        <f>X34*'[3]Себестоимость '!R17</f>
        <v>245.7</v>
      </c>
      <c r="Y38" s="73" t="s">
        <v>30</v>
      </c>
    </row>
    <row r="39" spans="2:25" ht="15.75" thickBot="1" x14ac:dyDescent="0.3">
      <c r="B39" s="138"/>
      <c r="C39" s="138"/>
      <c r="Y39" s="74" t="s">
        <v>29</v>
      </c>
    </row>
    <row r="40" spans="2:25" x14ac:dyDescent="0.25">
      <c r="B40" s="46"/>
      <c r="C40" s="47"/>
    </row>
    <row r="41" spans="2:25" x14ac:dyDescent="0.25">
      <c r="B41" s="43"/>
      <c r="C41" s="48"/>
    </row>
    <row r="42" spans="2:25" x14ac:dyDescent="0.25">
      <c r="B42" s="45"/>
      <c r="C42" s="45"/>
    </row>
    <row r="43" spans="2:25" x14ac:dyDescent="0.25">
      <c r="B43" s="138"/>
      <c r="C43" s="138"/>
    </row>
    <row r="44" spans="2:25" x14ac:dyDescent="0.25">
      <c r="B44" s="33"/>
      <c r="C44" s="34"/>
    </row>
    <row r="45" spans="2:25" x14ac:dyDescent="0.25">
      <c r="B45" s="43"/>
      <c r="C45" s="44"/>
    </row>
  </sheetData>
  <mergeCells count="10">
    <mergeCell ref="A23:A28"/>
    <mergeCell ref="E35:F35"/>
    <mergeCell ref="B39:C39"/>
    <mergeCell ref="B43:C43"/>
    <mergeCell ref="A6:A16"/>
    <mergeCell ref="B1:C1"/>
    <mergeCell ref="E1:H1"/>
    <mergeCell ref="I1:I2"/>
    <mergeCell ref="Y1:Y2"/>
    <mergeCell ref="B2:C2"/>
  </mergeCells>
  <conditionalFormatting sqref="Y3:Y33">
    <cfRule type="cellIs" dxfId="44" priority="6" operator="equal">
      <formula>0</formula>
    </cfRule>
  </conditionalFormatting>
  <conditionalFormatting sqref="E3:E33">
    <cfRule type="cellIs" dxfId="43" priority="5" operator="equal">
      <formula>$Z$1</formula>
    </cfRule>
  </conditionalFormatting>
  <conditionalFormatting sqref="I3:I33">
    <cfRule type="cellIs" dxfId="42" priority="4" operator="equal">
      <formula>$Z$1</formula>
    </cfRule>
  </conditionalFormatting>
  <conditionalFormatting sqref="I34">
    <cfRule type="expression" dxfId="41" priority="3">
      <formula>$E$3:$E$32=TODAY()</formula>
    </cfRule>
  </conditionalFormatting>
  <conditionalFormatting sqref="I34">
    <cfRule type="cellIs" dxfId="40" priority="2" operator="equal">
      <formula>$Z$1</formula>
    </cfRule>
  </conditionalFormatting>
  <conditionalFormatting sqref="E28:F28 I28:Y28 E3:Y27 E29:Y33">
    <cfRule type="expression" dxfId="39" priority="7">
      <formula>$E3=$Z$1</formula>
    </cfRule>
  </conditionalFormatting>
  <conditionalFormatting sqref="G28:H28">
    <cfRule type="expression" dxfId="38" priority="1">
      <formula>$E28=$Z$1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Z45"/>
  <sheetViews>
    <sheetView zoomScale="85" zoomScaleNormal="85" workbookViewId="0">
      <pane ySplit="2" topLeftCell="A9" activePane="bottomLeft" state="frozen"/>
      <selection activeCell="C15" sqref="C15"/>
      <selection pane="bottomLeft" activeCell="C47" sqref="C47:C48"/>
    </sheetView>
  </sheetViews>
  <sheetFormatPr defaultRowHeight="15" x14ac:dyDescent="0.25"/>
  <cols>
    <col min="1" max="1" width="6.5703125" customWidth="1"/>
    <col min="2" max="2" width="30.42578125" bestFit="1" customWidth="1"/>
    <col min="3" max="3" width="15.28515625" customWidth="1"/>
    <col min="5" max="5" width="8.42578125" bestFit="1" customWidth="1"/>
    <col min="6" max="6" width="12.7109375" bestFit="1" customWidth="1"/>
    <col min="7" max="7" width="12.140625" bestFit="1" customWidth="1"/>
    <col min="8" max="8" width="48.42578125" bestFit="1" customWidth="1"/>
    <col min="9" max="9" width="8.7109375" style="20" bestFit="1" customWidth="1"/>
    <col min="10" max="10" width="12.28515625" customWidth="1"/>
    <col min="11" max="11" width="11.28515625" customWidth="1"/>
    <col min="12" max="12" width="10.140625" customWidth="1"/>
    <col min="13" max="16" width="9.28515625" bestFit="1" customWidth="1"/>
    <col min="17" max="17" width="9.85546875" bestFit="1" customWidth="1"/>
    <col min="18" max="22" width="9.28515625" bestFit="1" customWidth="1"/>
    <col min="23" max="23" width="11" customWidth="1"/>
    <col min="24" max="24" width="10.5703125" bestFit="1" customWidth="1"/>
    <col min="25" max="25" width="9.7109375" style="5" customWidth="1"/>
    <col min="26" max="26" width="10.28515625" bestFit="1" customWidth="1"/>
    <col min="249" max="249" width="30.42578125" bestFit="1" customWidth="1"/>
    <col min="250" max="250" width="12.140625" customWidth="1"/>
    <col min="251" max="251" width="29.140625" bestFit="1" customWidth="1"/>
    <col min="252" max="252" width="12.5703125" customWidth="1"/>
    <col min="254" max="254" width="24" customWidth="1"/>
    <col min="255" max="255" width="22.28515625" customWidth="1"/>
    <col min="257" max="257" width="10.140625" bestFit="1" customWidth="1"/>
    <col min="258" max="258" width="12.7109375" bestFit="1" customWidth="1"/>
    <col min="259" max="259" width="12.140625" bestFit="1" customWidth="1"/>
    <col min="260" max="260" width="24.42578125" bestFit="1" customWidth="1"/>
    <col min="505" max="505" width="30.42578125" bestFit="1" customWidth="1"/>
    <col min="506" max="506" width="12.140625" customWidth="1"/>
    <col min="507" max="507" width="29.140625" bestFit="1" customWidth="1"/>
    <col min="508" max="508" width="12.5703125" customWidth="1"/>
    <col min="510" max="510" width="24" customWidth="1"/>
    <col min="511" max="511" width="22.28515625" customWidth="1"/>
    <col min="513" max="513" width="10.140625" bestFit="1" customWidth="1"/>
    <col min="514" max="514" width="12.7109375" bestFit="1" customWidth="1"/>
    <col min="515" max="515" width="12.140625" bestFit="1" customWidth="1"/>
    <col min="516" max="516" width="24.42578125" bestFit="1" customWidth="1"/>
    <col min="761" max="761" width="30.42578125" bestFit="1" customWidth="1"/>
    <col min="762" max="762" width="12.140625" customWidth="1"/>
    <col min="763" max="763" width="29.140625" bestFit="1" customWidth="1"/>
    <col min="764" max="764" width="12.5703125" customWidth="1"/>
    <col min="766" max="766" width="24" customWidth="1"/>
    <col min="767" max="767" width="22.28515625" customWidth="1"/>
    <col min="769" max="769" width="10.140625" bestFit="1" customWidth="1"/>
    <col min="770" max="770" width="12.7109375" bestFit="1" customWidth="1"/>
    <col min="771" max="771" width="12.140625" bestFit="1" customWidth="1"/>
    <col min="772" max="772" width="24.42578125" bestFit="1" customWidth="1"/>
    <col min="1017" max="1017" width="30.42578125" bestFit="1" customWidth="1"/>
    <col min="1018" max="1018" width="12.140625" customWidth="1"/>
    <col min="1019" max="1019" width="29.140625" bestFit="1" customWidth="1"/>
    <col min="1020" max="1020" width="12.5703125" customWidth="1"/>
    <col min="1022" max="1022" width="24" customWidth="1"/>
    <col min="1023" max="1023" width="22.28515625" customWidth="1"/>
    <col min="1025" max="1025" width="10.140625" bestFit="1" customWidth="1"/>
    <col min="1026" max="1026" width="12.7109375" bestFit="1" customWidth="1"/>
    <col min="1027" max="1027" width="12.140625" bestFit="1" customWidth="1"/>
    <col min="1028" max="1028" width="24.42578125" bestFit="1" customWidth="1"/>
    <col min="1273" max="1273" width="30.42578125" bestFit="1" customWidth="1"/>
    <col min="1274" max="1274" width="12.140625" customWidth="1"/>
    <col min="1275" max="1275" width="29.140625" bestFit="1" customWidth="1"/>
    <col min="1276" max="1276" width="12.5703125" customWidth="1"/>
    <col min="1278" max="1278" width="24" customWidth="1"/>
    <col min="1279" max="1279" width="22.28515625" customWidth="1"/>
    <col min="1281" max="1281" width="10.140625" bestFit="1" customWidth="1"/>
    <col min="1282" max="1282" width="12.7109375" bestFit="1" customWidth="1"/>
    <col min="1283" max="1283" width="12.140625" bestFit="1" customWidth="1"/>
    <col min="1284" max="1284" width="24.42578125" bestFit="1" customWidth="1"/>
    <col min="1529" max="1529" width="30.42578125" bestFit="1" customWidth="1"/>
    <col min="1530" max="1530" width="12.140625" customWidth="1"/>
    <col min="1531" max="1531" width="29.140625" bestFit="1" customWidth="1"/>
    <col min="1532" max="1532" width="12.5703125" customWidth="1"/>
    <col min="1534" max="1534" width="24" customWidth="1"/>
    <col min="1535" max="1535" width="22.28515625" customWidth="1"/>
    <col min="1537" max="1537" width="10.140625" bestFit="1" customWidth="1"/>
    <col min="1538" max="1538" width="12.7109375" bestFit="1" customWidth="1"/>
    <col min="1539" max="1539" width="12.140625" bestFit="1" customWidth="1"/>
    <col min="1540" max="1540" width="24.42578125" bestFit="1" customWidth="1"/>
    <col min="1785" max="1785" width="30.42578125" bestFit="1" customWidth="1"/>
    <col min="1786" max="1786" width="12.140625" customWidth="1"/>
    <col min="1787" max="1787" width="29.140625" bestFit="1" customWidth="1"/>
    <col min="1788" max="1788" width="12.5703125" customWidth="1"/>
    <col min="1790" max="1790" width="24" customWidth="1"/>
    <col min="1791" max="1791" width="22.28515625" customWidth="1"/>
    <col min="1793" max="1793" width="10.140625" bestFit="1" customWidth="1"/>
    <col min="1794" max="1794" width="12.7109375" bestFit="1" customWidth="1"/>
    <col min="1795" max="1795" width="12.140625" bestFit="1" customWidth="1"/>
    <col min="1796" max="1796" width="24.42578125" bestFit="1" customWidth="1"/>
    <col min="2041" max="2041" width="30.42578125" bestFit="1" customWidth="1"/>
    <col min="2042" max="2042" width="12.140625" customWidth="1"/>
    <col min="2043" max="2043" width="29.140625" bestFit="1" customWidth="1"/>
    <col min="2044" max="2044" width="12.5703125" customWidth="1"/>
    <col min="2046" max="2046" width="24" customWidth="1"/>
    <col min="2047" max="2047" width="22.28515625" customWidth="1"/>
    <col min="2049" max="2049" width="10.140625" bestFit="1" customWidth="1"/>
    <col min="2050" max="2050" width="12.7109375" bestFit="1" customWidth="1"/>
    <col min="2051" max="2051" width="12.140625" bestFit="1" customWidth="1"/>
    <col min="2052" max="2052" width="24.42578125" bestFit="1" customWidth="1"/>
    <col min="2297" max="2297" width="30.42578125" bestFit="1" customWidth="1"/>
    <col min="2298" max="2298" width="12.140625" customWidth="1"/>
    <col min="2299" max="2299" width="29.140625" bestFit="1" customWidth="1"/>
    <col min="2300" max="2300" width="12.5703125" customWidth="1"/>
    <col min="2302" max="2302" width="24" customWidth="1"/>
    <col min="2303" max="2303" width="22.28515625" customWidth="1"/>
    <col min="2305" max="2305" width="10.140625" bestFit="1" customWidth="1"/>
    <col min="2306" max="2306" width="12.7109375" bestFit="1" customWidth="1"/>
    <col min="2307" max="2307" width="12.140625" bestFit="1" customWidth="1"/>
    <col min="2308" max="2308" width="24.42578125" bestFit="1" customWidth="1"/>
    <col min="2553" max="2553" width="30.42578125" bestFit="1" customWidth="1"/>
    <col min="2554" max="2554" width="12.140625" customWidth="1"/>
    <col min="2555" max="2555" width="29.140625" bestFit="1" customWidth="1"/>
    <col min="2556" max="2556" width="12.5703125" customWidth="1"/>
    <col min="2558" max="2558" width="24" customWidth="1"/>
    <col min="2559" max="2559" width="22.28515625" customWidth="1"/>
    <col min="2561" max="2561" width="10.140625" bestFit="1" customWidth="1"/>
    <col min="2562" max="2562" width="12.7109375" bestFit="1" customWidth="1"/>
    <col min="2563" max="2563" width="12.140625" bestFit="1" customWidth="1"/>
    <col min="2564" max="2564" width="24.42578125" bestFit="1" customWidth="1"/>
    <col min="2809" max="2809" width="30.42578125" bestFit="1" customWidth="1"/>
    <col min="2810" max="2810" width="12.140625" customWidth="1"/>
    <col min="2811" max="2811" width="29.140625" bestFit="1" customWidth="1"/>
    <col min="2812" max="2812" width="12.5703125" customWidth="1"/>
    <col min="2814" max="2814" width="24" customWidth="1"/>
    <col min="2815" max="2815" width="22.28515625" customWidth="1"/>
    <col min="2817" max="2817" width="10.140625" bestFit="1" customWidth="1"/>
    <col min="2818" max="2818" width="12.7109375" bestFit="1" customWidth="1"/>
    <col min="2819" max="2819" width="12.140625" bestFit="1" customWidth="1"/>
    <col min="2820" max="2820" width="24.42578125" bestFit="1" customWidth="1"/>
    <col min="3065" max="3065" width="30.42578125" bestFit="1" customWidth="1"/>
    <col min="3066" max="3066" width="12.140625" customWidth="1"/>
    <col min="3067" max="3067" width="29.140625" bestFit="1" customWidth="1"/>
    <col min="3068" max="3068" width="12.5703125" customWidth="1"/>
    <col min="3070" max="3070" width="24" customWidth="1"/>
    <col min="3071" max="3071" width="22.28515625" customWidth="1"/>
    <col min="3073" max="3073" width="10.140625" bestFit="1" customWidth="1"/>
    <col min="3074" max="3074" width="12.7109375" bestFit="1" customWidth="1"/>
    <col min="3075" max="3075" width="12.140625" bestFit="1" customWidth="1"/>
    <col min="3076" max="3076" width="24.42578125" bestFit="1" customWidth="1"/>
    <col min="3321" max="3321" width="30.42578125" bestFit="1" customWidth="1"/>
    <col min="3322" max="3322" width="12.140625" customWidth="1"/>
    <col min="3323" max="3323" width="29.140625" bestFit="1" customWidth="1"/>
    <col min="3324" max="3324" width="12.5703125" customWidth="1"/>
    <col min="3326" max="3326" width="24" customWidth="1"/>
    <col min="3327" max="3327" width="22.28515625" customWidth="1"/>
    <col min="3329" max="3329" width="10.140625" bestFit="1" customWidth="1"/>
    <col min="3330" max="3330" width="12.7109375" bestFit="1" customWidth="1"/>
    <col min="3331" max="3331" width="12.140625" bestFit="1" customWidth="1"/>
    <col min="3332" max="3332" width="24.42578125" bestFit="1" customWidth="1"/>
    <col min="3577" max="3577" width="30.42578125" bestFit="1" customWidth="1"/>
    <col min="3578" max="3578" width="12.140625" customWidth="1"/>
    <col min="3579" max="3579" width="29.140625" bestFit="1" customWidth="1"/>
    <col min="3580" max="3580" width="12.5703125" customWidth="1"/>
    <col min="3582" max="3582" width="24" customWidth="1"/>
    <col min="3583" max="3583" width="22.28515625" customWidth="1"/>
    <col min="3585" max="3585" width="10.140625" bestFit="1" customWidth="1"/>
    <col min="3586" max="3586" width="12.7109375" bestFit="1" customWidth="1"/>
    <col min="3587" max="3587" width="12.140625" bestFit="1" customWidth="1"/>
    <col min="3588" max="3588" width="24.42578125" bestFit="1" customWidth="1"/>
    <col min="3833" max="3833" width="30.42578125" bestFit="1" customWidth="1"/>
    <col min="3834" max="3834" width="12.140625" customWidth="1"/>
    <col min="3835" max="3835" width="29.140625" bestFit="1" customWidth="1"/>
    <col min="3836" max="3836" width="12.5703125" customWidth="1"/>
    <col min="3838" max="3838" width="24" customWidth="1"/>
    <col min="3839" max="3839" width="22.28515625" customWidth="1"/>
    <col min="3841" max="3841" width="10.140625" bestFit="1" customWidth="1"/>
    <col min="3842" max="3842" width="12.7109375" bestFit="1" customWidth="1"/>
    <col min="3843" max="3843" width="12.140625" bestFit="1" customWidth="1"/>
    <col min="3844" max="3844" width="24.42578125" bestFit="1" customWidth="1"/>
    <col min="4089" max="4089" width="30.42578125" bestFit="1" customWidth="1"/>
    <col min="4090" max="4090" width="12.140625" customWidth="1"/>
    <col min="4091" max="4091" width="29.140625" bestFit="1" customWidth="1"/>
    <col min="4092" max="4092" width="12.5703125" customWidth="1"/>
    <col min="4094" max="4094" width="24" customWidth="1"/>
    <col min="4095" max="4095" width="22.28515625" customWidth="1"/>
    <col min="4097" max="4097" width="10.140625" bestFit="1" customWidth="1"/>
    <col min="4098" max="4098" width="12.7109375" bestFit="1" customWidth="1"/>
    <col min="4099" max="4099" width="12.140625" bestFit="1" customWidth="1"/>
    <col min="4100" max="4100" width="24.42578125" bestFit="1" customWidth="1"/>
    <col min="4345" max="4345" width="30.42578125" bestFit="1" customWidth="1"/>
    <col min="4346" max="4346" width="12.140625" customWidth="1"/>
    <col min="4347" max="4347" width="29.140625" bestFit="1" customWidth="1"/>
    <col min="4348" max="4348" width="12.5703125" customWidth="1"/>
    <col min="4350" max="4350" width="24" customWidth="1"/>
    <col min="4351" max="4351" width="22.28515625" customWidth="1"/>
    <col min="4353" max="4353" width="10.140625" bestFit="1" customWidth="1"/>
    <col min="4354" max="4354" width="12.7109375" bestFit="1" customWidth="1"/>
    <col min="4355" max="4355" width="12.140625" bestFit="1" customWidth="1"/>
    <col min="4356" max="4356" width="24.42578125" bestFit="1" customWidth="1"/>
    <col min="4601" max="4601" width="30.42578125" bestFit="1" customWidth="1"/>
    <col min="4602" max="4602" width="12.140625" customWidth="1"/>
    <col min="4603" max="4603" width="29.140625" bestFit="1" customWidth="1"/>
    <col min="4604" max="4604" width="12.5703125" customWidth="1"/>
    <col min="4606" max="4606" width="24" customWidth="1"/>
    <col min="4607" max="4607" width="22.28515625" customWidth="1"/>
    <col min="4609" max="4609" width="10.140625" bestFit="1" customWidth="1"/>
    <col min="4610" max="4610" width="12.7109375" bestFit="1" customWidth="1"/>
    <col min="4611" max="4611" width="12.140625" bestFit="1" customWidth="1"/>
    <col min="4612" max="4612" width="24.42578125" bestFit="1" customWidth="1"/>
    <col min="4857" max="4857" width="30.42578125" bestFit="1" customWidth="1"/>
    <col min="4858" max="4858" width="12.140625" customWidth="1"/>
    <col min="4859" max="4859" width="29.140625" bestFit="1" customWidth="1"/>
    <col min="4860" max="4860" width="12.5703125" customWidth="1"/>
    <col min="4862" max="4862" width="24" customWidth="1"/>
    <col min="4863" max="4863" width="22.28515625" customWidth="1"/>
    <col min="4865" max="4865" width="10.140625" bestFit="1" customWidth="1"/>
    <col min="4866" max="4866" width="12.7109375" bestFit="1" customWidth="1"/>
    <col min="4867" max="4867" width="12.140625" bestFit="1" customWidth="1"/>
    <col min="4868" max="4868" width="24.42578125" bestFit="1" customWidth="1"/>
    <col min="5113" max="5113" width="30.42578125" bestFit="1" customWidth="1"/>
    <col min="5114" max="5114" width="12.140625" customWidth="1"/>
    <col min="5115" max="5115" width="29.140625" bestFit="1" customWidth="1"/>
    <col min="5116" max="5116" width="12.5703125" customWidth="1"/>
    <col min="5118" max="5118" width="24" customWidth="1"/>
    <col min="5119" max="5119" width="22.28515625" customWidth="1"/>
    <col min="5121" max="5121" width="10.140625" bestFit="1" customWidth="1"/>
    <col min="5122" max="5122" width="12.7109375" bestFit="1" customWidth="1"/>
    <col min="5123" max="5123" width="12.140625" bestFit="1" customWidth="1"/>
    <col min="5124" max="5124" width="24.42578125" bestFit="1" customWidth="1"/>
    <col min="5369" max="5369" width="30.42578125" bestFit="1" customWidth="1"/>
    <col min="5370" max="5370" width="12.140625" customWidth="1"/>
    <col min="5371" max="5371" width="29.140625" bestFit="1" customWidth="1"/>
    <col min="5372" max="5372" width="12.5703125" customWidth="1"/>
    <col min="5374" max="5374" width="24" customWidth="1"/>
    <col min="5375" max="5375" width="22.28515625" customWidth="1"/>
    <col min="5377" max="5377" width="10.140625" bestFit="1" customWidth="1"/>
    <col min="5378" max="5378" width="12.7109375" bestFit="1" customWidth="1"/>
    <col min="5379" max="5379" width="12.140625" bestFit="1" customWidth="1"/>
    <col min="5380" max="5380" width="24.42578125" bestFit="1" customWidth="1"/>
    <col min="5625" max="5625" width="30.42578125" bestFit="1" customWidth="1"/>
    <col min="5626" max="5626" width="12.140625" customWidth="1"/>
    <col min="5627" max="5627" width="29.140625" bestFit="1" customWidth="1"/>
    <col min="5628" max="5628" width="12.5703125" customWidth="1"/>
    <col min="5630" max="5630" width="24" customWidth="1"/>
    <col min="5631" max="5631" width="22.28515625" customWidth="1"/>
    <col min="5633" max="5633" width="10.140625" bestFit="1" customWidth="1"/>
    <col min="5634" max="5634" width="12.7109375" bestFit="1" customWidth="1"/>
    <col min="5635" max="5635" width="12.140625" bestFit="1" customWidth="1"/>
    <col min="5636" max="5636" width="24.42578125" bestFit="1" customWidth="1"/>
    <col min="5881" max="5881" width="30.42578125" bestFit="1" customWidth="1"/>
    <col min="5882" max="5882" width="12.140625" customWidth="1"/>
    <col min="5883" max="5883" width="29.140625" bestFit="1" customWidth="1"/>
    <col min="5884" max="5884" width="12.5703125" customWidth="1"/>
    <col min="5886" max="5886" width="24" customWidth="1"/>
    <col min="5887" max="5887" width="22.28515625" customWidth="1"/>
    <col min="5889" max="5889" width="10.140625" bestFit="1" customWidth="1"/>
    <col min="5890" max="5890" width="12.7109375" bestFit="1" customWidth="1"/>
    <col min="5891" max="5891" width="12.140625" bestFit="1" customWidth="1"/>
    <col min="5892" max="5892" width="24.42578125" bestFit="1" customWidth="1"/>
    <col min="6137" max="6137" width="30.42578125" bestFit="1" customWidth="1"/>
    <col min="6138" max="6138" width="12.140625" customWidth="1"/>
    <col min="6139" max="6139" width="29.140625" bestFit="1" customWidth="1"/>
    <col min="6140" max="6140" width="12.5703125" customWidth="1"/>
    <col min="6142" max="6142" width="24" customWidth="1"/>
    <col min="6143" max="6143" width="22.28515625" customWidth="1"/>
    <col min="6145" max="6145" width="10.140625" bestFit="1" customWidth="1"/>
    <col min="6146" max="6146" width="12.7109375" bestFit="1" customWidth="1"/>
    <col min="6147" max="6147" width="12.140625" bestFit="1" customWidth="1"/>
    <col min="6148" max="6148" width="24.42578125" bestFit="1" customWidth="1"/>
    <col min="6393" max="6393" width="30.42578125" bestFit="1" customWidth="1"/>
    <col min="6394" max="6394" width="12.140625" customWidth="1"/>
    <col min="6395" max="6395" width="29.140625" bestFit="1" customWidth="1"/>
    <col min="6396" max="6396" width="12.5703125" customWidth="1"/>
    <col min="6398" max="6398" width="24" customWidth="1"/>
    <col min="6399" max="6399" width="22.28515625" customWidth="1"/>
    <col min="6401" max="6401" width="10.140625" bestFit="1" customWidth="1"/>
    <col min="6402" max="6402" width="12.7109375" bestFit="1" customWidth="1"/>
    <col min="6403" max="6403" width="12.140625" bestFit="1" customWidth="1"/>
    <col min="6404" max="6404" width="24.42578125" bestFit="1" customWidth="1"/>
    <col min="6649" max="6649" width="30.42578125" bestFit="1" customWidth="1"/>
    <col min="6650" max="6650" width="12.140625" customWidth="1"/>
    <col min="6651" max="6651" width="29.140625" bestFit="1" customWidth="1"/>
    <col min="6652" max="6652" width="12.5703125" customWidth="1"/>
    <col min="6654" max="6654" width="24" customWidth="1"/>
    <col min="6655" max="6655" width="22.28515625" customWidth="1"/>
    <col min="6657" max="6657" width="10.140625" bestFit="1" customWidth="1"/>
    <col min="6658" max="6658" width="12.7109375" bestFit="1" customWidth="1"/>
    <col min="6659" max="6659" width="12.140625" bestFit="1" customWidth="1"/>
    <col min="6660" max="6660" width="24.42578125" bestFit="1" customWidth="1"/>
    <col min="6905" max="6905" width="30.42578125" bestFit="1" customWidth="1"/>
    <col min="6906" max="6906" width="12.140625" customWidth="1"/>
    <col min="6907" max="6907" width="29.140625" bestFit="1" customWidth="1"/>
    <col min="6908" max="6908" width="12.5703125" customWidth="1"/>
    <col min="6910" max="6910" width="24" customWidth="1"/>
    <col min="6911" max="6911" width="22.28515625" customWidth="1"/>
    <col min="6913" max="6913" width="10.140625" bestFit="1" customWidth="1"/>
    <col min="6914" max="6914" width="12.7109375" bestFit="1" customWidth="1"/>
    <col min="6915" max="6915" width="12.140625" bestFit="1" customWidth="1"/>
    <col min="6916" max="6916" width="24.42578125" bestFit="1" customWidth="1"/>
    <col min="7161" max="7161" width="30.42578125" bestFit="1" customWidth="1"/>
    <col min="7162" max="7162" width="12.140625" customWidth="1"/>
    <col min="7163" max="7163" width="29.140625" bestFit="1" customWidth="1"/>
    <col min="7164" max="7164" width="12.5703125" customWidth="1"/>
    <col min="7166" max="7166" width="24" customWidth="1"/>
    <col min="7167" max="7167" width="22.28515625" customWidth="1"/>
    <col min="7169" max="7169" width="10.140625" bestFit="1" customWidth="1"/>
    <col min="7170" max="7170" width="12.7109375" bestFit="1" customWidth="1"/>
    <col min="7171" max="7171" width="12.140625" bestFit="1" customWidth="1"/>
    <col min="7172" max="7172" width="24.42578125" bestFit="1" customWidth="1"/>
    <col min="7417" max="7417" width="30.42578125" bestFit="1" customWidth="1"/>
    <col min="7418" max="7418" width="12.140625" customWidth="1"/>
    <col min="7419" max="7419" width="29.140625" bestFit="1" customWidth="1"/>
    <col min="7420" max="7420" width="12.5703125" customWidth="1"/>
    <col min="7422" max="7422" width="24" customWidth="1"/>
    <col min="7423" max="7423" width="22.28515625" customWidth="1"/>
    <col min="7425" max="7425" width="10.140625" bestFit="1" customWidth="1"/>
    <col min="7426" max="7426" width="12.7109375" bestFit="1" customWidth="1"/>
    <col min="7427" max="7427" width="12.140625" bestFit="1" customWidth="1"/>
    <col min="7428" max="7428" width="24.42578125" bestFit="1" customWidth="1"/>
    <col min="7673" max="7673" width="30.42578125" bestFit="1" customWidth="1"/>
    <col min="7674" max="7674" width="12.140625" customWidth="1"/>
    <col min="7675" max="7675" width="29.140625" bestFit="1" customWidth="1"/>
    <col min="7676" max="7676" width="12.5703125" customWidth="1"/>
    <col min="7678" max="7678" width="24" customWidth="1"/>
    <col min="7679" max="7679" width="22.28515625" customWidth="1"/>
    <col min="7681" max="7681" width="10.140625" bestFit="1" customWidth="1"/>
    <col min="7682" max="7682" width="12.7109375" bestFit="1" customWidth="1"/>
    <col min="7683" max="7683" width="12.140625" bestFit="1" customWidth="1"/>
    <col min="7684" max="7684" width="24.42578125" bestFit="1" customWidth="1"/>
    <col min="7929" max="7929" width="30.42578125" bestFit="1" customWidth="1"/>
    <col min="7930" max="7930" width="12.140625" customWidth="1"/>
    <col min="7931" max="7931" width="29.140625" bestFit="1" customWidth="1"/>
    <col min="7932" max="7932" width="12.5703125" customWidth="1"/>
    <col min="7934" max="7934" width="24" customWidth="1"/>
    <col min="7935" max="7935" width="22.28515625" customWidth="1"/>
    <col min="7937" max="7937" width="10.140625" bestFit="1" customWidth="1"/>
    <col min="7938" max="7938" width="12.7109375" bestFit="1" customWidth="1"/>
    <col min="7939" max="7939" width="12.140625" bestFit="1" customWidth="1"/>
    <col min="7940" max="7940" width="24.42578125" bestFit="1" customWidth="1"/>
    <col min="8185" max="8185" width="30.42578125" bestFit="1" customWidth="1"/>
    <col min="8186" max="8186" width="12.140625" customWidth="1"/>
    <col min="8187" max="8187" width="29.140625" bestFit="1" customWidth="1"/>
    <col min="8188" max="8188" width="12.5703125" customWidth="1"/>
    <col min="8190" max="8190" width="24" customWidth="1"/>
    <col min="8191" max="8191" width="22.28515625" customWidth="1"/>
    <col min="8193" max="8193" width="10.140625" bestFit="1" customWidth="1"/>
    <col min="8194" max="8194" width="12.7109375" bestFit="1" customWidth="1"/>
    <col min="8195" max="8195" width="12.140625" bestFit="1" customWidth="1"/>
    <col min="8196" max="8196" width="24.42578125" bestFit="1" customWidth="1"/>
    <col min="8441" max="8441" width="30.42578125" bestFit="1" customWidth="1"/>
    <col min="8442" max="8442" width="12.140625" customWidth="1"/>
    <col min="8443" max="8443" width="29.140625" bestFit="1" customWidth="1"/>
    <col min="8444" max="8444" width="12.5703125" customWidth="1"/>
    <col min="8446" max="8446" width="24" customWidth="1"/>
    <col min="8447" max="8447" width="22.28515625" customWidth="1"/>
    <col min="8449" max="8449" width="10.140625" bestFit="1" customWidth="1"/>
    <col min="8450" max="8450" width="12.7109375" bestFit="1" customWidth="1"/>
    <col min="8451" max="8451" width="12.140625" bestFit="1" customWidth="1"/>
    <col min="8452" max="8452" width="24.42578125" bestFit="1" customWidth="1"/>
    <col min="8697" max="8697" width="30.42578125" bestFit="1" customWidth="1"/>
    <col min="8698" max="8698" width="12.140625" customWidth="1"/>
    <col min="8699" max="8699" width="29.140625" bestFit="1" customWidth="1"/>
    <col min="8700" max="8700" width="12.5703125" customWidth="1"/>
    <col min="8702" max="8702" width="24" customWidth="1"/>
    <col min="8703" max="8703" width="22.28515625" customWidth="1"/>
    <col min="8705" max="8705" width="10.140625" bestFit="1" customWidth="1"/>
    <col min="8706" max="8706" width="12.7109375" bestFit="1" customWidth="1"/>
    <col min="8707" max="8707" width="12.140625" bestFit="1" customWidth="1"/>
    <col min="8708" max="8708" width="24.42578125" bestFit="1" customWidth="1"/>
    <col min="8953" max="8953" width="30.42578125" bestFit="1" customWidth="1"/>
    <col min="8954" max="8954" width="12.140625" customWidth="1"/>
    <col min="8955" max="8955" width="29.140625" bestFit="1" customWidth="1"/>
    <col min="8956" max="8956" width="12.5703125" customWidth="1"/>
    <col min="8958" max="8958" width="24" customWidth="1"/>
    <col min="8959" max="8959" width="22.28515625" customWidth="1"/>
    <col min="8961" max="8961" width="10.140625" bestFit="1" customWidth="1"/>
    <col min="8962" max="8962" width="12.7109375" bestFit="1" customWidth="1"/>
    <col min="8963" max="8963" width="12.140625" bestFit="1" customWidth="1"/>
    <col min="8964" max="8964" width="24.42578125" bestFit="1" customWidth="1"/>
    <col min="9209" max="9209" width="30.42578125" bestFit="1" customWidth="1"/>
    <col min="9210" max="9210" width="12.140625" customWidth="1"/>
    <col min="9211" max="9211" width="29.140625" bestFit="1" customWidth="1"/>
    <col min="9212" max="9212" width="12.5703125" customWidth="1"/>
    <col min="9214" max="9214" width="24" customWidth="1"/>
    <col min="9215" max="9215" width="22.28515625" customWidth="1"/>
    <col min="9217" max="9217" width="10.140625" bestFit="1" customWidth="1"/>
    <col min="9218" max="9218" width="12.7109375" bestFit="1" customWidth="1"/>
    <col min="9219" max="9219" width="12.140625" bestFit="1" customWidth="1"/>
    <col min="9220" max="9220" width="24.42578125" bestFit="1" customWidth="1"/>
    <col min="9465" max="9465" width="30.42578125" bestFit="1" customWidth="1"/>
    <col min="9466" max="9466" width="12.140625" customWidth="1"/>
    <col min="9467" max="9467" width="29.140625" bestFit="1" customWidth="1"/>
    <col min="9468" max="9468" width="12.5703125" customWidth="1"/>
    <col min="9470" max="9470" width="24" customWidth="1"/>
    <col min="9471" max="9471" width="22.28515625" customWidth="1"/>
    <col min="9473" max="9473" width="10.140625" bestFit="1" customWidth="1"/>
    <col min="9474" max="9474" width="12.7109375" bestFit="1" customWidth="1"/>
    <col min="9475" max="9475" width="12.140625" bestFit="1" customWidth="1"/>
    <col min="9476" max="9476" width="24.42578125" bestFit="1" customWidth="1"/>
    <col min="9721" max="9721" width="30.42578125" bestFit="1" customWidth="1"/>
    <col min="9722" max="9722" width="12.140625" customWidth="1"/>
    <col min="9723" max="9723" width="29.140625" bestFit="1" customWidth="1"/>
    <col min="9724" max="9724" width="12.5703125" customWidth="1"/>
    <col min="9726" max="9726" width="24" customWidth="1"/>
    <col min="9727" max="9727" width="22.28515625" customWidth="1"/>
    <col min="9729" max="9729" width="10.140625" bestFit="1" customWidth="1"/>
    <col min="9730" max="9730" width="12.7109375" bestFit="1" customWidth="1"/>
    <col min="9731" max="9731" width="12.140625" bestFit="1" customWidth="1"/>
    <col min="9732" max="9732" width="24.42578125" bestFit="1" customWidth="1"/>
    <col min="9977" max="9977" width="30.42578125" bestFit="1" customWidth="1"/>
    <col min="9978" max="9978" width="12.140625" customWidth="1"/>
    <col min="9979" max="9979" width="29.140625" bestFit="1" customWidth="1"/>
    <col min="9980" max="9980" width="12.5703125" customWidth="1"/>
    <col min="9982" max="9982" width="24" customWidth="1"/>
    <col min="9983" max="9983" width="22.28515625" customWidth="1"/>
    <col min="9985" max="9985" width="10.140625" bestFit="1" customWidth="1"/>
    <col min="9986" max="9986" width="12.7109375" bestFit="1" customWidth="1"/>
    <col min="9987" max="9987" width="12.140625" bestFit="1" customWidth="1"/>
    <col min="9988" max="9988" width="24.42578125" bestFit="1" customWidth="1"/>
    <col min="10233" max="10233" width="30.42578125" bestFit="1" customWidth="1"/>
    <col min="10234" max="10234" width="12.140625" customWidth="1"/>
    <col min="10235" max="10235" width="29.140625" bestFit="1" customWidth="1"/>
    <col min="10236" max="10236" width="12.5703125" customWidth="1"/>
    <col min="10238" max="10238" width="24" customWidth="1"/>
    <col min="10239" max="10239" width="22.28515625" customWidth="1"/>
    <col min="10241" max="10241" width="10.140625" bestFit="1" customWidth="1"/>
    <col min="10242" max="10242" width="12.7109375" bestFit="1" customWidth="1"/>
    <col min="10243" max="10243" width="12.140625" bestFit="1" customWidth="1"/>
    <col min="10244" max="10244" width="24.42578125" bestFit="1" customWidth="1"/>
    <col min="10489" max="10489" width="30.42578125" bestFit="1" customWidth="1"/>
    <col min="10490" max="10490" width="12.140625" customWidth="1"/>
    <col min="10491" max="10491" width="29.140625" bestFit="1" customWidth="1"/>
    <col min="10492" max="10492" width="12.5703125" customWidth="1"/>
    <col min="10494" max="10494" width="24" customWidth="1"/>
    <col min="10495" max="10495" width="22.28515625" customWidth="1"/>
    <col min="10497" max="10497" width="10.140625" bestFit="1" customWidth="1"/>
    <col min="10498" max="10498" width="12.7109375" bestFit="1" customWidth="1"/>
    <col min="10499" max="10499" width="12.140625" bestFit="1" customWidth="1"/>
    <col min="10500" max="10500" width="24.42578125" bestFit="1" customWidth="1"/>
    <col min="10745" max="10745" width="30.42578125" bestFit="1" customWidth="1"/>
    <col min="10746" max="10746" width="12.140625" customWidth="1"/>
    <col min="10747" max="10747" width="29.140625" bestFit="1" customWidth="1"/>
    <col min="10748" max="10748" width="12.5703125" customWidth="1"/>
    <col min="10750" max="10750" width="24" customWidth="1"/>
    <col min="10751" max="10751" width="22.28515625" customWidth="1"/>
    <col min="10753" max="10753" width="10.140625" bestFit="1" customWidth="1"/>
    <col min="10754" max="10754" width="12.7109375" bestFit="1" customWidth="1"/>
    <col min="10755" max="10755" width="12.140625" bestFit="1" customWidth="1"/>
    <col min="10756" max="10756" width="24.42578125" bestFit="1" customWidth="1"/>
    <col min="11001" max="11001" width="30.42578125" bestFit="1" customWidth="1"/>
    <col min="11002" max="11002" width="12.140625" customWidth="1"/>
    <col min="11003" max="11003" width="29.140625" bestFit="1" customWidth="1"/>
    <col min="11004" max="11004" width="12.5703125" customWidth="1"/>
    <col min="11006" max="11006" width="24" customWidth="1"/>
    <col min="11007" max="11007" width="22.28515625" customWidth="1"/>
    <col min="11009" max="11009" width="10.140625" bestFit="1" customWidth="1"/>
    <col min="11010" max="11010" width="12.7109375" bestFit="1" customWidth="1"/>
    <col min="11011" max="11011" width="12.140625" bestFit="1" customWidth="1"/>
    <col min="11012" max="11012" width="24.42578125" bestFit="1" customWidth="1"/>
    <col min="11257" max="11257" width="30.42578125" bestFit="1" customWidth="1"/>
    <col min="11258" max="11258" width="12.140625" customWidth="1"/>
    <col min="11259" max="11259" width="29.140625" bestFit="1" customWidth="1"/>
    <col min="11260" max="11260" width="12.5703125" customWidth="1"/>
    <col min="11262" max="11262" width="24" customWidth="1"/>
    <col min="11263" max="11263" width="22.28515625" customWidth="1"/>
    <col min="11265" max="11265" width="10.140625" bestFit="1" customWidth="1"/>
    <col min="11266" max="11266" width="12.7109375" bestFit="1" customWidth="1"/>
    <col min="11267" max="11267" width="12.140625" bestFit="1" customWidth="1"/>
    <col min="11268" max="11268" width="24.42578125" bestFit="1" customWidth="1"/>
    <col min="11513" max="11513" width="30.42578125" bestFit="1" customWidth="1"/>
    <col min="11514" max="11514" width="12.140625" customWidth="1"/>
    <col min="11515" max="11515" width="29.140625" bestFit="1" customWidth="1"/>
    <col min="11516" max="11516" width="12.5703125" customWidth="1"/>
    <col min="11518" max="11518" width="24" customWidth="1"/>
    <col min="11519" max="11519" width="22.28515625" customWidth="1"/>
    <col min="11521" max="11521" width="10.140625" bestFit="1" customWidth="1"/>
    <col min="11522" max="11522" width="12.7109375" bestFit="1" customWidth="1"/>
    <col min="11523" max="11523" width="12.140625" bestFit="1" customWidth="1"/>
    <col min="11524" max="11524" width="24.42578125" bestFit="1" customWidth="1"/>
    <col min="11769" max="11769" width="30.42578125" bestFit="1" customWidth="1"/>
    <col min="11770" max="11770" width="12.140625" customWidth="1"/>
    <col min="11771" max="11771" width="29.140625" bestFit="1" customWidth="1"/>
    <col min="11772" max="11772" width="12.5703125" customWidth="1"/>
    <col min="11774" max="11774" width="24" customWidth="1"/>
    <col min="11775" max="11775" width="22.28515625" customWidth="1"/>
    <col min="11777" max="11777" width="10.140625" bestFit="1" customWidth="1"/>
    <col min="11778" max="11778" width="12.7109375" bestFit="1" customWidth="1"/>
    <col min="11779" max="11779" width="12.140625" bestFit="1" customWidth="1"/>
    <col min="11780" max="11780" width="24.42578125" bestFit="1" customWidth="1"/>
    <col min="12025" max="12025" width="30.42578125" bestFit="1" customWidth="1"/>
    <col min="12026" max="12026" width="12.140625" customWidth="1"/>
    <col min="12027" max="12027" width="29.140625" bestFit="1" customWidth="1"/>
    <col min="12028" max="12028" width="12.5703125" customWidth="1"/>
    <col min="12030" max="12030" width="24" customWidth="1"/>
    <col min="12031" max="12031" width="22.28515625" customWidth="1"/>
    <col min="12033" max="12033" width="10.140625" bestFit="1" customWidth="1"/>
    <col min="12034" max="12034" width="12.7109375" bestFit="1" customWidth="1"/>
    <col min="12035" max="12035" width="12.140625" bestFit="1" customWidth="1"/>
    <col min="12036" max="12036" width="24.42578125" bestFit="1" customWidth="1"/>
    <col min="12281" max="12281" width="30.42578125" bestFit="1" customWidth="1"/>
    <col min="12282" max="12282" width="12.140625" customWidth="1"/>
    <col min="12283" max="12283" width="29.140625" bestFit="1" customWidth="1"/>
    <col min="12284" max="12284" width="12.5703125" customWidth="1"/>
    <col min="12286" max="12286" width="24" customWidth="1"/>
    <col min="12287" max="12287" width="22.28515625" customWidth="1"/>
    <col min="12289" max="12289" width="10.140625" bestFit="1" customWidth="1"/>
    <col min="12290" max="12290" width="12.7109375" bestFit="1" customWidth="1"/>
    <col min="12291" max="12291" width="12.140625" bestFit="1" customWidth="1"/>
    <col min="12292" max="12292" width="24.42578125" bestFit="1" customWidth="1"/>
    <col min="12537" max="12537" width="30.42578125" bestFit="1" customWidth="1"/>
    <col min="12538" max="12538" width="12.140625" customWidth="1"/>
    <col min="12539" max="12539" width="29.140625" bestFit="1" customWidth="1"/>
    <col min="12540" max="12540" width="12.5703125" customWidth="1"/>
    <col min="12542" max="12542" width="24" customWidth="1"/>
    <col min="12543" max="12543" width="22.28515625" customWidth="1"/>
    <col min="12545" max="12545" width="10.140625" bestFit="1" customWidth="1"/>
    <col min="12546" max="12546" width="12.7109375" bestFit="1" customWidth="1"/>
    <col min="12547" max="12547" width="12.140625" bestFit="1" customWidth="1"/>
    <col min="12548" max="12548" width="24.42578125" bestFit="1" customWidth="1"/>
    <col min="12793" max="12793" width="30.42578125" bestFit="1" customWidth="1"/>
    <col min="12794" max="12794" width="12.140625" customWidth="1"/>
    <col min="12795" max="12795" width="29.140625" bestFit="1" customWidth="1"/>
    <col min="12796" max="12796" width="12.5703125" customWidth="1"/>
    <col min="12798" max="12798" width="24" customWidth="1"/>
    <col min="12799" max="12799" width="22.28515625" customWidth="1"/>
    <col min="12801" max="12801" width="10.140625" bestFit="1" customWidth="1"/>
    <col min="12802" max="12802" width="12.7109375" bestFit="1" customWidth="1"/>
    <col min="12803" max="12803" width="12.140625" bestFit="1" customWidth="1"/>
    <col min="12804" max="12804" width="24.42578125" bestFit="1" customWidth="1"/>
    <col min="13049" max="13049" width="30.42578125" bestFit="1" customWidth="1"/>
    <col min="13050" max="13050" width="12.140625" customWidth="1"/>
    <col min="13051" max="13051" width="29.140625" bestFit="1" customWidth="1"/>
    <col min="13052" max="13052" width="12.5703125" customWidth="1"/>
    <col min="13054" max="13054" width="24" customWidth="1"/>
    <col min="13055" max="13055" width="22.28515625" customWidth="1"/>
    <col min="13057" max="13057" width="10.140625" bestFit="1" customWidth="1"/>
    <col min="13058" max="13058" width="12.7109375" bestFit="1" customWidth="1"/>
    <col min="13059" max="13059" width="12.140625" bestFit="1" customWidth="1"/>
    <col min="13060" max="13060" width="24.42578125" bestFit="1" customWidth="1"/>
    <col min="13305" max="13305" width="30.42578125" bestFit="1" customWidth="1"/>
    <col min="13306" max="13306" width="12.140625" customWidth="1"/>
    <col min="13307" max="13307" width="29.140625" bestFit="1" customWidth="1"/>
    <col min="13308" max="13308" width="12.5703125" customWidth="1"/>
    <col min="13310" max="13310" width="24" customWidth="1"/>
    <col min="13311" max="13311" width="22.28515625" customWidth="1"/>
    <col min="13313" max="13313" width="10.140625" bestFit="1" customWidth="1"/>
    <col min="13314" max="13314" width="12.7109375" bestFit="1" customWidth="1"/>
    <col min="13315" max="13315" width="12.140625" bestFit="1" customWidth="1"/>
    <col min="13316" max="13316" width="24.42578125" bestFit="1" customWidth="1"/>
    <col min="13561" max="13561" width="30.42578125" bestFit="1" customWidth="1"/>
    <col min="13562" max="13562" width="12.140625" customWidth="1"/>
    <col min="13563" max="13563" width="29.140625" bestFit="1" customWidth="1"/>
    <col min="13564" max="13564" width="12.5703125" customWidth="1"/>
    <col min="13566" max="13566" width="24" customWidth="1"/>
    <col min="13567" max="13567" width="22.28515625" customWidth="1"/>
    <col min="13569" max="13569" width="10.140625" bestFit="1" customWidth="1"/>
    <col min="13570" max="13570" width="12.7109375" bestFit="1" customWidth="1"/>
    <col min="13571" max="13571" width="12.140625" bestFit="1" customWidth="1"/>
    <col min="13572" max="13572" width="24.42578125" bestFit="1" customWidth="1"/>
    <col min="13817" max="13817" width="30.42578125" bestFit="1" customWidth="1"/>
    <col min="13818" max="13818" width="12.140625" customWidth="1"/>
    <col min="13819" max="13819" width="29.140625" bestFit="1" customWidth="1"/>
    <col min="13820" max="13820" width="12.5703125" customWidth="1"/>
    <col min="13822" max="13822" width="24" customWidth="1"/>
    <col min="13823" max="13823" width="22.28515625" customWidth="1"/>
    <col min="13825" max="13825" width="10.140625" bestFit="1" customWidth="1"/>
    <col min="13826" max="13826" width="12.7109375" bestFit="1" customWidth="1"/>
    <col min="13827" max="13827" width="12.140625" bestFit="1" customWidth="1"/>
    <col min="13828" max="13828" width="24.42578125" bestFit="1" customWidth="1"/>
    <col min="14073" max="14073" width="30.42578125" bestFit="1" customWidth="1"/>
    <col min="14074" max="14074" width="12.140625" customWidth="1"/>
    <col min="14075" max="14075" width="29.140625" bestFit="1" customWidth="1"/>
    <col min="14076" max="14076" width="12.5703125" customWidth="1"/>
    <col min="14078" max="14078" width="24" customWidth="1"/>
    <col min="14079" max="14079" width="22.28515625" customWidth="1"/>
    <col min="14081" max="14081" width="10.140625" bestFit="1" customWidth="1"/>
    <col min="14082" max="14082" width="12.7109375" bestFit="1" customWidth="1"/>
    <col min="14083" max="14083" width="12.140625" bestFit="1" customWidth="1"/>
    <col min="14084" max="14084" width="24.42578125" bestFit="1" customWidth="1"/>
    <col min="14329" max="14329" width="30.42578125" bestFit="1" customWidth="1"/>
    <col min="14330" max="14330" width="12.140625" customWidth="1"/>
    <col min="14331" max="14331" width="29.140625" bestFit="1" customWidth="1"/>
    <col min="14332" max="14332" width="12.5703125" customWidth="1"/>
    <col min="14334" max="14334" width="24" customWidth="1"/>
    <col min="14335" max="14335" width="22.28515625" customWidth="1"/>
    <col min="14337" max="14337" width="10.140625" bestFit="1" customWidth="1"/>
    <col min="14338" max="14338" width="12.7109375" bestFit="1" customWidth="1"/>
    <col min="14339" max="14339" width="12.140625" bestFit="1" customWidth="1"/>
    <col min="14340" max="14340" width="24.42578125" bestFit="1" customWidth="1"/>
    <col min="14585" max="14585" width="30.42578125" bestFit="1" customWidth="1"/>
    <col min="14586" max="14586" width="12.140625" customWidth="1"/>
    <col min="14587" max="14587" width="29.140625" bestFit="1" customWidth="1"/>
    <col min="14588" max="14588" width="12.5703125" customWidth="1"/>
    <col min="14590" max="14590" width="24" customWidth="1"/>
    <col min="14591" max="14591" width="22.28515625" customWidth="1"/>
    <col min="14593" max="14593" width="10.140625" bestFit="1" customWidth="1"/>
    <col min="14594" max="14594" width="12.7109375" bestFit="1" customWidth="1"/>
    <col min="14595" max="14595" width="12.140625" bestFit="1" customWidth="1"/>
    <col min="14596" max="14596" width="24.42578125" bestFit="1" customWidth="1"/>
    <col min="14841" max="14841" width="30.42578125" bestFit="1" customWidth="1"/>
    <col min="14842" max="14842" width="12.140625" customWidth="1"/>
    <col min="14843" max="14843" width="29.140625" bestFit="1" customWidth="1"/>
    <col min="14844" max="14844" width="12.5703125" customWidth="1"/>
    <col min="14846" max="14846" width="24" customWidth="1"/>
    <col min="14847" max="14847" width="22.28515625" customWidth="1"/>
    <col min="14849" max="14849" width="10.140625" bestFit="1" customWidth="1"/>
    <col min="14850" max="14850" width="12.7109375" bestFit="1" customWidth="1"/>
    <col min="14851" max="14851" width="12.140625" bestFit="1" customWidth="1"/>
    <col min="14852" max="14852" width="24.42578125" bestFit="1" customWidth="1"/>
    <col min="15097" max="15097" width="30.42578125" bestFit="1" customWidth="1"/>
    <col min="15098" max="15098" width="12.140625" customWidth="1"/>
    <col min="15099" max="15099" width="29.140625" bestFit="1" customWidth="1"/>
    <col min="15100" max="15100" width="12.5703125" customWidth="1"/>
    <col min="15102" max="15102" width="24" customWidth="1"/>
    <col min="15103" max="15103" width="22.28515625" customWidth="1"/>
    <col min="15105" max="15105" width="10.140625" bestFit="1" customWidth="1"/>
    <col min="15106" max="15106" width="12.7109375" bestFit="1" customWidth="1"/>
    <col min="15107" max="15107" width="12.140625" bestFit="1" customWidth="1"/>
    <col min="15108" max="15108" width="24.42578125" bestFit="1" customWidth="1"/>
    <col min="15353" max="15353" width="30.42578125" bestFit="1" customWidth="1"/>
    <col min="15354" max="15354" width="12.140625" customWidth="1"/>
    <col min="15355" max="15355" width="29.140625" bestFit="1" customWidth="1"/>
    <col min="15356" max="15356" width="12.5703125" customWidth="1"/>
    <col min="15358" max="15358" width="24" customWidth="1"/>
    <col min="15359" max="15359" width="22.28515625" customWidth="1"/>
    <col min="15361" max="15361" width="10.140625" bestFit="1" customWidth="1"/>
    <col min="15362" max="15362" width="12.7109375" bestFit="1" customWidth="1"/>
    <col min="15363" max="15363" width="12.140625" bestFit="1" customWidth="1"/>
    <col min="15364" max="15364" width="24.42578125" bestFit="1" customWidth="1"/>
    <col min="15609" max="15609" width="30.42578125" bestFit="1" customWidth="1"/>
    <col min="15610" max="15610" width="12.140625" customWidth="1"/>
    <col min="15611" max="15611" width="29.140625" bestFit="1" customWidth="1"/>
    <col min="15612" max="15612" width="12.5703125" customWidth="1"/>
    <col min="15614" max="15614" width="24" customWidth="1"/>
    <col min="15615" max="15615" width="22.28515625" customWidth="1"/>
    <col min="15617" max="15617" width="10.140625" bestFit="1" customWidth="1"/>
    <col min="15618" max="15618" width="12.7109375" bestFit="1" customWidth="1"/>
    <col min="15619" max="15619" width="12.140625" bestFit="1" customWidth="1"/>
    <col min="15620" max="15620" width="24.42578125" bestFit="1" customWidth="1"/>
    <col min="15865" max="15865" width="30.42578125" bestFit="1" customWidth="1"/>
    <col min="15866" max="15866" width="12.140625" customWidth="1"/>
    <col min="15867" max="15867" width="29.140625" bestFit="1" customWidth="1"/>
    <col min="15868" max="15868" width="12.5703125" customWidth="1"/>
    <col min="15870" max="15870" width="24" customWidth="1"/>
    <col min="15871" max="15871" width="22.28515625" customWidth="1"/>
    <col min="15873" max="15873" width="10.140625" bestFit="1" customWidth="1"/>
    <col min="15874" max="15874" width="12.7109375" bestFit="1" customWidth="1"/>
    <col min="15875" max="15875" width="12.140625" bestFit="1" customWidth="1"/>
    <col min="15876" max="15876" width="24.42578125" bestFit="1" customWidth="1"/>
    <col min="16121" max="16121" width="30.42578125" bestFit="1" customWidth="1"/>
    <col min="16122" max="16122" width="12.140625" customWidth="1"/>
    <col min="16123" max="16123" width="29.140625" bestFit="1" customWidth="1"/>
    <col min="16124" max="16124" width="12.5703125" customWidth="1"/>
    <col min="16126" max="16126" width="24" customWidth="1"/>
    <col min="16127" max="16127" width="22.28515625" customWidth="1"/>
    <col min="16129" max="16129" width="10.140625" bestFit="1" customWidth="1"/>
    <col min="16130" max="16130" width="12.7109375" bestFit="1" customWidth="1"/>
    <col min="16131" max="16131" width="12.140625" bestFit="1" customWidth="1"/>
    <col min="16132" max="16132" width="24.42578125" bestFit="1" customWidth="1"/>
  </cols>
  <sheetData>
    <row r="1" spans="1:26" ht="15.75" customHeight="1" thickBot="1" x14ac:dyDescent="0.3">
      <c r="B1" s="123">
        <v>42217</v>
      </c>
      <c r="C1" s="123"/>
      <c r="D1" s="7"/>
      <c r="E1" s="124" t="s">
        <v>8</v>
      </c>
      <c r="F1" s="125"/>
      <c r="G1" s="125"/>
      <c r="H1" s="126"/>
      <c r="I1" s="127"/>
      <c r="J1" s="3">
        <v>30</v>
      </c>
      <c r="K1" s="3">
        <v>30</v>
      </c>
      <c r="L1" s="3">
        <v>30</v>
      </c>
      <c r="M1" s="3">
        <v>35</v>
      </c>
      <c r="N1" s="3">
        <v>30</v>
      </c>
      <c r="O1" s="3">
        <v>25</v>
      </c>
      <c r="P1" s="3">
        <v>25</v>
      </c>
      <c r="Q1" s="3">
        <v>30</v>
      </c>
      <c r="R1" s="3">
        <v>35</v>
      </c>
      <c r="S1" s="3">
        <v>35</v>
      </c>
      <c r="T1" s="3">
        <v>30</v>
      </c>
      <c r="U1" s="3">
        <v>35</v>
      </c>
      <c r="V1" s="3">
        <v>35</v>
      </c>
      <c r="W1" s="3">
        <v>30</v>
      </c>
      <c r="X1" s="3">
        <v>30</v>
      </c>
      <c r="Y1" s="129" t="s">
        <v>25</v>
      </c>
      <c r="Z1" s="25">
        <f ca="1">TODAY()</f>
        <v>45273</v>
      </c>
    </row>
    <row r="2" spans="1:26" ht="30" customHeight="1" x14ac:dyDescent="0.25">
      <c r="B2" s="131" t="s">
        <v>1</v>
      </c>
      <c r="C2" s="132"/>
      <c r="E2" s="35" t="s">
        <v>12</v>
      </c>
      <c r="F2" s="36" t="s">
        <v>9</v>
      </c>
      <c r="G2" s="36" t="s">
        <v>10</v>
      </c>
      <c r="H2" s="4" t="s">
        <v>11</v>
      </c>
      <c r="I2" s="128"/>
      <c r="J2" s="23" t="s">
        <v>22</v>
      </c>
      <c r="K2" s="23" t="s">
        <v>5</v>
      </c>
      <c r="L2" s="23" t="s">
        <v>13</v>
      </c>
      <c r="M2" s="23" t="s">
        <v>14</v>
      </c>
      <c r="N2" s="23" t="s">
        <v>15</v>
      </c>
      <c r="O2" s="23" t="s">
        <v>56</v>
      </c>
      <c r="P2" s="23" t="s">
        <v>55</v>
      </c>
      <c r="Q2" s="23" t="s">
        <v>23</v>
      </c>
      <c r="R2" s="23" t="s">
        <v>57</v>
      </c>
      <c r="S2" s="23" t="s">
        <v>26</v>
      </c>
      <c r="T2" s="23" t="s">
        <v>19</v>
      </c>
      <c r="U2" s="23" t="s">
        <v>20</v>
      </c>
      <c r="V2" s="23" t="s">
        <v>21</v>
      </c>
      <c r="W2" s="23" t="s">
        <v>36</v>
      </c>
      <c r="X2" s="23" t="s">
        <v>41</v>
      </c>
      <c r="Y2" s="130"/>
    </row>
    <row r="3" spans="1:26" ht="15.75" thickBot="1" x14ac:dyDescent="0.3">
      <c r="B3" s="49" t="s">
        <v>0</v>
      </c>
      <c r="C3" s="50" t="s">
        <v>2</v>
      </c>
      <c r="E3" s="32">
        <f>B1</f>
        <v>42217</v>
      </c>
      <c r="F3" s="71"/>
      <c r="G3" s="71"/>
      <c r="H3" s="72"/>
      <c r="I3" s="31">
        <f>E3</f>
        <v>42217</v>
      </c>
      <c r="J3" s="37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9"/>
      <c r="Y3" s="61">
        <f>SUM(J3:X3)</f>
        <v>0</v>
      </c>
    </row>
    <row r="4" spans="1:26" ht="15.75" thickBot="1" x14ac:dyDescent="0.3">
      <c r="B4" s="14" t="s">
        <v>3</v>
      </c>
      <c r="C4" s="15">
        <f>F34</f>
        <v>35350</v>
      </c>
      <c r="E4" s="32">
        <f>E3+1</f>
        <v>42218</v>
      </c>
      <c r="F4" s="71"/>
      <c r="G4" s="71"/>
      <c r="H4" s="72"/>
      <c r="I4" s="31">
        <f t="shared" ref="I4:I33" si="0">E4</f>
        <v>42218</v>
      </c>
      <c r="J4" s="40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2"/>
      <c r="Y4" s="62">
        <f>SUM(J4:X4)</f>
        <v>0</v>
      </c>
    </row>
    <row r="5" spans="1:26" ht="15" customHeight="1" thickBot="1" x14ac:dyDescent="0.3">
      <c r="A5" s="51"/>
      <c r="E5" s="32">
        <f t="shared" ref="E5:E33" si="1">E4+1</f>
        <v>42219</v>
      </c>
      <c r="F5" s="71"/>
      <c r="G5" s="71"/>
      <c r="H5" s="72"/>
      <c r="I5" s="31">
        <f t="shared" si="0"/>
        <v>42219</v>
      </c>
      <c r="J5" s="40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2"/>
      <c r="Y5" s="62">
        <f t="shared" ref="Y5:Y33" si="2">SUM(J5:X5)</f>
        <v>0</v>
      </c>
    </row>
    <row r="6" spans="1:26" ht="15" customHeight="1" x14ac:dyDescent="0.25">
      <c r="A6" s="139" t="s">
        <v>42</v>
      </c>
      <c r="B6" s="76" t="s">
        <v>7</v>
      </c>
      <c r="C6" s="11">
        <v>4000</v>
      </c>
      <c r="E6" s="32">
        <f t="shared" si="1"/>
        <v>42220</v>
      </c>
      <c r="F6" s="71"/>
      <c r="G6" s="71"/>
      <c r="H6" s="72"/>
      <c r="I6" s="31">
        <f t="shared" si="0"/>
        <v>42220</v>
      </c>
      <c r="J6" s="40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2"/>
      <c r="Y6" s="62">
        <f t="shared" si="2"/>
        <v>0</v>
      </c>
    </row>
    <row r="7" spans="1:26" x14ac:dyDescent="0.25">
      <c r="A7" s="140"/>
      <c r="B7" s="77" t="s">
        <v>43</v>
      </c>
      <c r="C7" s="12">
        <v>40</v>
      </c>
      <c r="E7" s="32">
        <f t="shared" si="1"/>
        <v>42221</v>
      </c>
      <c r="F7" s="71"/>
      <c r="G7" s="71"/>
      <c r="H7" s="72"/>
      <c r="I7" s="31">
        <f t="shared" si="0"/>
        <v>42221</v>
      </c>
      <c r="J7" s="40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2"/>
      <c r="Y7" s="62">
        <f t="shared" si="2"/>
        <v>0</v>
      </c>
    </row>
    <row r="8" spans="1:26" x14ac:dyDescent="0.25">
      <c r="A8" s="140"/>
      <c r="B8" s="77" t="s">
        <v>4</v>
      </c>
      <c r="C8" s="13">
        <f>(INDEX('[1]Кредит Сатурн'!$C:$C,MATCH(B1,'[1]Кредит Сатурн'!$A:$A,0)))</f>
        <v>2064</v>
      </c>
      <c r="E8" s="32">
        <f t="shared" si="1"/>
        <v>42222</v>
      </c>
      <c r="F8" s="71"/>
      <c r="G8" s="71"/>
      <c r="H8" s="72"/>
      <c r="I8" s="31">
        <f t="shared" si="0"/>
        <v>42222</v>
      </c>
      <c r="J8" s="40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2"/>
      <c r="Y8" s="62">
        <f t="shared" si="2"/>
        <v>0</v>
      </c>
    </row>
    <row r="9" spans="1:26" x14ac:dyDescent="0.25">
      <c r="A9" s="140"/>
      <c r="B9" s="77" t="s">
        <v>27</v>
      </c>
      <c r="C9" s="12">
        <f>'[2]Расход ингредиентов'!$D$187</f>
        <v>8000</v>
      </c>
      <c r="E9" s="32">
        <f t="shared" si="1"/>
        <v>42223</v>
      </c>
      <c r="F9" s="71"/>
      <c r="G9" s="71"/>
      <c r="H9" s="72"/>
      <c r="I9" s="31">
        <f t="shared" si="0"/>
        <v>42223</v>
      </c>
      <c r="J9" s="40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2"/>
      <c r="Y9" s="62">
        <f t="shared" si="2"/>
        <v>0</v>
      </c>
    </row>
    <row r="10" spans="1:26" x14ac:dyDescent="0.25">
      <c r="A10" s="140"/>
      <c r="B10" s="77" t="s">
        <v>44</v>
      </c>
      <c r="C10" s="12">
        <f>'[2]Расход ингредиентов'!$D$184</f>
        <v>318.40796019900495</v>
      </c>
      <c r="E10" s="32">
        <f t="shared" si="1"/>
        <v>42224</v>
      </c>
      <c r="F10" s="71">
        <f>7990</f>
        <v>7990</v>
      </c>
      <c r="G10" s="71"/>
      <c r="H10" s="72" t="s">
        <v>3</v>
      </c>
      <c r="I10" s="31">
        <f t="shared" si="0"/>
        <v>42224</v>
      </c>
      <c r="J10" s="40">
        <v>14</v>
      </c>
      <c r="K10" s="41">
        <v>11</v>
      </c>
      <c r="L10" s="41">
        <v>2</v>
      </c>
      <c r="M10" s="41">
        <v>60</v>
      </c>
      <c r="N10" s="41">
        <v>25</v>
      </c>
      <c r="O10" s="41">
        <v>7</v>
      </c>
      <c r="P10" s="41">
        <v>6</v>
      </c>
      <c r="Q10" s="41">
        <v>17</v>
      </c>
      <c r="R10" s="41">
        <v>3</v>
      </c>
      <c r="S10" s="41">
        <v>6</v>
      </c>
      <c r="T10" s="41">
        <v>16</v>
      </c>
      <c r="U10" s="41">
        <v>13</v>
      </c>
      <c r="V10" s="41">
        <v>14</v>
      </c>
      <c r="W10" s="41">
        <v>43</v>
      </c>
      <c r="X10" s="42">
        <v>6</v>
      </c>
      <c r="Y10" s="62">
        <f t="shared" si="2"/>
        <v>243</v>
      </c>
    </row>
    <row r="11" spans="1:26" x14ac:dyDescent="0.25">
      <c r="A11" s="140"/>
      <c r="B11" s="77" t="s">
        <v>38</v>
      </c>
      <c r="C11" s="12">
        <f>'[2]Расход ингредиентов'!$D$183</f>
        <v>40</v>
      </c>
      <c r="E11" s="32">
        <f t="shared" si="1"/>
        <v>42225</v>
      </c>
      <c r="F11" s="71"/>
      <c r="G11" s="71"/>
      <c r="H11" s="120"/>
      <c r="I11" s="31">
        <f t="shared" si="0"/>
        <v>42225</v>
      </c>
      <c r="J11" s="40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2"/>
      <c r="Y11" s="62">
        <f t="shared" si="2"/>
        <v>0</v>
      </c>
    </row>
    <row r="12" spans="1:26" x14ac:dyDescent="0.25">
      <c r="A12" s="140"/>
      <c r="B12" s="77" t="s">
        <v>39</v>
      </c>
      <c r="C12" s="12">
        <v>0</v>
      </c>
      <c r="E12" s="32">
        <f t="shared" si="1"/>
        <v>42226</v>
      </c>
      <c r="F12" s="71"/>
      <c r="G12" s="71"/>
      <c r="H12" s="72"/>
      <c r="I12" s="31">
        <f t="shared" si="0"/>
        <v>42226</v>
      </c>
      <c r="J12" s="40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2"/>
      <c r="Y12" s="62">
        <f t="shared" si="2"/>
        <v>0</v>
      </c>
    </row>
    <row r="13" spans="1:26" x14ac:dyDescent="0.25">
      <c r="A13" s="140"/>
      <c r="B13" s="77" t="s">
        <v>31</v>
      </c>
      <c r="C13" s="18">
        <v>3300</v>
      </c>
      <c r="E13" s="32">
        <f t="shared" si="1"/>
        <v>42227</v>
      </c>
      <c r="F13" s="71"/>
      <c r="G13" s="71"/>
      <c r="H13" s="72"/>
      <c r="I13" s="31">
        <f t="shared" si="0"/>
        <v>42227</v>
      </c>
      <c r="J13" s="40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2"/>
      <c r="Y13" s="62">
        <f t="shared" si="2"/>
        <v>0</v>
      </c>
    </row>
    <row r="14" spans="1:26" x14ac:dyDescent="0.25">
      <c r="A14" s="140"/>
      <c r="B14" s="77" t="s">
        <v>46</v>
      </c>
      <c r="C14" s="18">
        <v>1430</v>
      </c>
      <c r="E14" s="32">
        <f t="shared" si="1"/>
        <v>42228</v>
      </c>
      <c r="F14" s="71"/>
      <c r="G14" s="71"/>
      <c r="H14" s="72"/>
      <c r="I14" s="31">
        <f t="shared" si="0"/>
        <v>42228</v>
      </c>
      <c r="J14" s="40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2"/>
      <c r="Y14" s="62">
        <f t="shared" si="2"/>
        <v>0</v>
      </c>
    </row>
    <row r="15" spans="1:26" x14ac:dyDescent="0.25">
      <c r="A15" s="140"/>
      <c r="B15" s="77" t="s">
        <v>45</v>
      </c>
      <c r="C15" s="12">
        <f>G16+G24</f>
        <v>530</v>
      </c>
      <c r="E15" s="32">
        <f t="shared" si="1"/>
        <v>42229</v>
      </c>
      <c r="F15" s="71"/>
      <c r="G15" s="71"/>
      <c r="H15" s="72"/>
      <c r="I15" s="31">
        <f t="shared" si="0"/>
        <v>42229</v>
      </c>
      <c r="J15" s="40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62">
        <f t="shared" si="2"/>
        <v>0</v>
      </c>
    </row>
    <row r="16" spans="1:26" ht="15.75" thickBot="1" x14ac:dyDescent="0.3">
      <c r="A16" s="141"/>
      <c r="B16" s="78" t="s">
        <v>47</v>
      </c>
      <c r="C16" s="53">
        <f>SUM(C6:C15)</f>
        <v>19722.407960199005</v>
      </c>
      <c r="E16" s="32">
        <f t="shared" si="1"/>
        <v>42230</v>
      </c>
      <c r="F16" s="71"/>
      <c r="G16" s="71">
        <f>450</f>
        <v>450</v>
      </c>
      <c r="H16" s="72" t="s">
        <v>111</v>
      </c>
      <c r="I16" s="31">
        <f t="shared" si="0"/>
        <v>42230</v>
      </c>
      <c r="J16" s="40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2"/>
      <c r="Y16" s="62">
        <f t="shared" si="2"/>
        <v>0</v>
      </c>
    </row>
    <row r="17" spans="1:25" ht="15.75" thickBot="1" x14ac:dyDescent="0.3">
      <c r="E17" s="32">
        <f t="shared" si="1"/>
        <v>42231</v>
      </c>
      <c r="F17" s="71">
        <v>7990</v>
      </c>
      <c r="G17" s="71"/>
      <c r="H17" s="72" t="s">
        <v>3</v>
      </c>
      <c r="I17" s="31">
        <f t="shared" si="0"/>
        <v>42231</v>
      </c>
      <c r="J17" s="40">
        <v>23</v>
      </c>
      <c r="K17" s="41">
        <v>6</v>
      </c>
      <c r="L17" s="41">
        <v>6</v>
      </c>
      <c r="M17" s="41">
        <v>55</v>
      </c>
      <c r="N17" s="41">
        <v>26</v>
      </c>
      <c r="O17" s="41">
        <v>8</v>
      </c>
      <c r="P17" s="41">
        <v>14</v>
      </c>
      <c r="Q17" s="41">
        <v>24</v>
      </c>
      <c r="R17" s="41">
        <v>4</v>
      </c>
      <c r="S17" s="41">
        <v>6</v>
      </c>
      <c r="T17" s="41">
        <v>12</v>
      </c>
      <c r="U17" s="41">
        <v>23</v>
      </c>
      <c r="V17" s="41">
        <v>15</v>
      </c>
      <c r="W17" s="41">
        <v>18</v>
      </c>
      <c r="X17" s="42">
        <v>6</v>
      </c>
      <c r="Y17" s="62">
        <f t="shared" si="2"/>
        <v>246</v>
      </c>
    </row>
    <row r="18" spans="1:25" ht="15.75" thickBot="1" x14ac:dyDescent="0.3">
      <c r="B18" s="16" t="s">
        <v>32</v>
      </c>
      <c r="C18" s="17">
        <f>C4-C16</f>
        <v>15627.592039800995</v>
      </c>
      <c r="E18" s="32">
        <f t="shared" si="1"/>
        <v>42232</v>
      </c>
      <c r="F18" s="71"/>
      <c r="G18" s="71"/>
      <c r="H18" s="72"/>
      <c r="I18" s="31">
        <f t="shared" si="0"/>
        <v>42232</v>
      </c>
      <c r="J18" s="40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2"/>
      <c r="Y18" s="62">
        <f t="shared" si="2"/>
        <v>0</v>
      </c>
    </row>
    <row r="19" spans="1:25" ht="15.75" thickBot="1" x14ac:dyDescent="0.3">
      <c r="E19" s="32">
        <f t="shared" si="1"/>
        <v>42233</v>
      </c>
      <c r="F19" s="71"/>
      <c r="G19" s="71"/>
      <c r="H19" s="72"/>
      <c r="I19" s="31">
        <f t="shared" si="0"/>
        <v>42233</v>
      </c>
      <c r="J19" s="40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2"/>
      <c r="Y19" s="62">
        <f t="shared" si="2"/>
        <v>0</v>
      </c>
    </row>
    <row r="20" spans="1:25" ht="15.75" thickBot="1" x14ac:dyDescent="0.3">
      <c r="B20" s="16" t="s">
        <v>48</v>
      </c>
      <c r="C20" s="17">
        <f>CEILING(C6+C8,100)</f>
        <v>6100</v>
      </c>
      <c r="E20" s="32">
        <f t="shared" si="1"/>
        <v>42234</v>
      </c>
      <c r="F20" s="71"/>
      <c r="G20" s="71"/>
      <c r="H20" s="72"/>
      <c r="I20" s="31">
        <f t="shared" si="0"/>
        <v>42234</v>
      </c>
      <c r="J20" s="40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2"/>
      <c r="Y20" s="62">
        <f t="shared" si="2"/>
        <v>0</v>
      </c>
    </row>
    <row r="21" spans="1:25" ht="15.75" thickBot="1" x14ac:dyDescent="0.3">
      <c r="E21" s="32">
        <f>E20+1</f>
        <v>42235</v>
      </c>
      <c r="F21" s="71">
        <v>1000</v>
      </c>
      <c r="G21" s="71"/>
      <c r="H21" s="72" t="s">
        <v>112</v>
      </c>
      <c r="I21" s="31">
        <f t="shared" si="0"/>
        <v>42235</v>
      </c>
      <c r="J21" s="40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2"/>
      <c r="Y21" s="62">
        <f t="shared" si="2"/>
        <v>0</v>
      </c>
    </row>
    <row r="22" spans="1:25" ht="15.75" thickBot="1" x14ac:dyDescent="0.3">
      <c r="B22" s="52" t="s">
        <v>53</v>
      </c>
      <c r="C22" s="63">
        <f>C18</f>
        <v>15627.592039800995</v>
      </c>
      <c r="E22" s="32">
        <f t="shared" si="1"/>
        <v>42236</v>
      </c>
      <c r="F22" s="71"/>
      <c r="G22" s="71"/>
      <c r="H22" s="72"/>
      <c r="I22" s="31">
        <f t="shared" si="0"/>
        <v>42236</v>
      </c>
      <c r="J22" s="40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2"/>
      <c r="Y22" s="62">
        <f t="shared" si="2"/>
        <v>0</v>
      </c>
    </row>
    <row r="23" spans="1:25" ht="15" customHeight="1" x14ac:dyDescent="0.25">
      <c r="A23" s="133" t="s">
        <v>49</v>
      </c>
      <c r="B23" s="58" t="s">
        <v>50</v>
      </c>
      <c r="C23" s="59">
        <v>0</v>
      </c>
      <c r="E23" s="32">
        <f t="shared" si="1"/>
        <v>42237</v>
      </c>
      <c r="F23" s="71"/>
      <c r="G23" s="71"/>
      <c r="H23" s="72"/>
      <c r="I23" s="31">
        <f t="shared" si="0"/>
        <v>42237</v>
      </c>
      <c r="J23" s="40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2"/>
      <c r="Y23" s="62">
        <f t="shared" si="2"/>
        <v>0</v>
      </c>
    </row>
    <row r="24" spans="1:25" x14ac:dyDescent="0.25">
      <c r="A24" s="134"/>
      <c r="B24" s="54" t="s">
        <v>40</v>
      </c>
      <c r="C24" s="55">
        <v>0</v>
      </c>
      <c r="E24" s="32">
        <f t="shared" si="1"/>
        <v>42238</v>
      </c>
      <c r="F24" s="71">
        <v>8780</v>
      </c>
      <c r="G24" s="71">
        <f>80</f>
        <v>80</v>
      </c>
      <c r="H24" s="72" t="s">
        <v>113</v>
      </c>
      <c r="I24" s="31">
        <f t="shared" si="0"/>
        <v>42238</v>
      </c>
      <c r="J24" s="40">
        <v>19</v>
      </c>
      <c r="K24" s="41">
        <v>11</v>
      </c>
      <c r="L24" s="41">
        <v>4</v>
      </c>
      <c r="M24" s="41">
        <v>80</v>
      </c>
      <c r="N24" s="41">
        <v>39</v>
      </c>
      <c r="O24" s="41">
        <v>6</v>
      </c>
      <c r="P24" s="41">
        <v>5</v>
      </c>
      <c r="Q24" s="41">
        <v>74</v>
      </c>
      <c r="R24" s="41">
        <v>9</v>
      </c>
      <c r="S24" s="41">
        <v>7</v>
      </c>
      <c r="T24" s="41">
        <v>18</v>
      </c>
      <c r="U24" s="41">
        <v>20</v>
      </c>
      <c r="V24" s="41">
        <v>16</v>
      </c>
      <c r="W24" s="41">
        <v>9</v>
      </c>
      <c r="X24" s="42">
        <v>5</v>
      </c>
      <c r="Y24" s="62">
        <f t="shared" si="2"/>
        <v>322</v>
      </c>
    </row>
    <row r="25" spans="1:25" x14ac:dyDescent="0.25">
      <c r="A25" s="134"/>
      <c r="B25" s="54" t="s">
        <v>51</v>
      </c>
      <c r="C25" s="55">
        <v>0</v>
      </c>
      <c r="E25" s="32">
        <f t="shared" si="1"/>
        <v>42239</v>
      </c>
      <c r="F25" s="71"/>
      <c r="G25" s="71"/>
      <c r="H25" s="72"/>
      <c r="I25" s="31">
        <f t="shared" si="0"/>
        <v>42239</v>
      </c>
      <c r="J25" s="40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2"/>
      <c r="Y25" s="62">
        <f t="shared" si="2"/>
        <v>0</v>
      </c>
    </row>
    <row r="26" spans="1:25" ht="15.75" thickBot="1" x14ac:dyDescent="0.3">
      <c r="A26" s="134"/>
      <c r="B26" s="57" t="s">
        <v>52</v>
      </c>
      <c r="C26" s="56">
        <v>0</v>
      </c>
      <c r="E26" s="32">
        <f t="shared" si="1"/>
        <v>42240</v>
      </c>
      <c r="F26" s="71"/>
      <c r="G26" s="71"/>
      <c r="H26" s="72"/>
      <c r="I26" s="31">
        <f t="shared" si="0"/>
        <v>42240</v>
      </c>
      <c r="J26" s="40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2"/>
      <c r="Y26" s="62">
        <f t="shared" si="2"/>
        <v>0</v>
      </c>
    </row>
    <row r="27" spans="1:25" ht="15.75" thickBot="1" x14ac:dyDescent="0.3">
      <c r="A27" s="134"/>
      <c r="B27" s="52" t="s">
        <v>54</v>
      </c>
      <c r="C27" s="60">
        <f>C22-SUM(C23:C26)</f>
        <v>15627.592039800995</v>
      </c>
      <c r="E27" s="32">
        <f t="shared" si="1"/>
        <v>42241</v>
      </c>
      <c r="F27" s="71"/>
      <c r="G27" s="71"/>
      <c r="H27" s="72"/>
      <c r="I27" s="31">
        <f t="shared" si="0"/>
        <v>42241</v>
      </c>
      <c r="J27" s="40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2"/>
      <c r="Y27" s="62">
        <f t="shared" si="2"/>
        <v>0</v>
      </c>
    </row>
    <row r="28" spans="1:25" ht="15.75" thickBot="1" x14ac:dyDescent="0.3">
      <c r="A28" s="135"/>
      <c r="B28" s="33"/>
      <c r="C28" s="34"/>
      <c r="E28" s="32">
        <f t="shared" si="1"/>
        <v>42242</v>
      </c>
      <c r="F28" s="71"/>
      <c r="G28" s="29"/>
      <c r="H28" s="72"/>
      <c r="I28" s="31">
        <f t="shared" si="0"/>
        <v>42242</v>
      </c>
      <c r="J28" s="40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2"/>
      <c r="Y28" s="62">
        <f t="shared" si="2"/>
        <v>0</v>
      </c>
    </row>
    <row r="29" spans="1:25" ht="15.75" thickBot="1" x14ac:dyDescent="0.3">
      <c r="B29" s="16" t="s">
        <v>28</v>
      </c>
      <c r="C29" s="17">
        <f>'8'!G35+'7'!C29</f>
        <v>238936</v>
      </c>
      <c r="E29" s="32">
        <f t="shared" si="1"/>
        <v>42243</v>
      </c>
      <c r="F29" s="71"/>
      <c r="G29" s="71"/>
      <c r="H29" s="72"/>
      <c r="I29" s="31">
        <f t="shared" si="0"/>
        <v>42243</v>
      </c>
      <c r="J29" s="40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2"/>
      <c r="Y29" s="62">
        <f t="shared" si="2"/>
        <v>0</v>
      </c>
    </row>
    <row r="30" spans="1:25" x14ac:dyDescent="0.25">
      <c r="B30" s="46"/>
      <c r="C30" s="47"/>
      <c r="E30" s="32">
        <f t="shared" si="1"/>
        <v>42244</v>
      </c>
      <c r="F30" s="29"/>
      <c r="G30" s="29"/>
      <c r="H30" s="72"/>
      <c r="I30" s="31">
        <f t="shared" si="0"/>
        <v>42244</v>
      </c>
      <c r="J30" s="40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2"/>
      <c r="Y30" s="62">
        <f t="shared" si="2"/>
        <v>0</v>
      </c>
    </row>
    <row r="31" spans="1:25" x14ac:dyDescent="0.25">
      <c r="B31" s="43"/>
      <c r="C31" s="48"/>
      <c r="E31" s="32">
        <f t="shared" si="1"/>
        <v>42245</v>
      </c>
      <c r="F31" s="29">
        <v>9590</v>
      </c>
      <c r="G31" s="29"/>
      <c r="H31" s="72" t="s">
        <v>3</v>
      </c>
      <c r="I31" s="31">
        <f t="shared" si="0"/>
        <v>42245</v>
      </c>
      <c r="J31" s="40">
        <v>14</v>
      </c>
      <c r="K31" s="41">
        <v>17</v>
      </c>
      <c r="L31" s="41">
        <v>5</v>
      </c>
      <c r="M31" s="41">
        <v>67</v>
      </c>
      <c r="N31" s="41">
        <v>42</v>
      </c>
      <c r="O31" s="41">
        <v>11</v>
      </c>
      <c r="P31" s="41">
        <v>7</v>
      </c>
      <c r="Q31" s="41">
        <v>23</v>
      </c>
      <c r="R31" s="41">
        <v>10</v>
      </c>
      <c r="S31" s="41">
        <v>9</v>
      </c>
      <c r="T31" s="41">
        <v>16</v>
      </c>
      <c r="U31" s="41">
        <v>9</v>
      </c>
      <c r="V31" s="41">
        <v>24</v>
      </c>
      <c r="W31" s="41">
        <v>18</v>
      </c>
      <c r="X31" s="42">
        <v>80</v>
      </c>
      <c r="Y31" s="62">
        <f t="shared" si="2"/>
        <v>352</v>
      </c>
    </row>
    <row r="32" spans="1:25" x14ac:dyDescent="0.25">
      <c r="B32" s="43"/>
      <c r="C32" s="48"/>
      <c r="E32" s="32">
        <f t="shared" si="1"/>
        <v>42246</v>
      </c>
      <c r="F32" s="29"/>
      <c r="G32" s="29"/>
      <c r="H32" s="119"/>
      <c r="I32" s="31">
        <f t="shared" si="0"/>
        <v>42246</v>
      </c>
      <c r="J32" s="40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2"/>
      <c r="Y32" s="62">
        <f t="shared" si="2"/>
        <v>0</v>
      </c>
    </row>
    <row r="33" spans="2:25" ht="15.75" thickBot="1" x14ac:dyDescent="0.3">
      <c r="B33" s="33"/>
      <c r="C33" s="34"/>
      <c r="E33" s="32">
        <f t="shared" si="1"/>
        <v>42247</v>
      </c>
      <c r="F33" s="29"/>
      <c r="G33" s="29"/>
      <c r="H33" s="72"/>
      <c r="I33" s="31">
        <f t="shared" si="0"/>
        <v>42247</v>
      </c>
      <c r="J33" s="40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2"/>
      <c r="Y33" s="62">
        <f t="shared" si="2"/>
        <v>0</v>
      </c>
    </row>
    <row r="34" spans="2:25" ht="15.75" thickBot="1" x14ac:dyDescent="0.3">
      <c r="B34" s="43"/>
      <c r="C34" s="48"/>
      <c r="E34" s="19" t="s">
        <v>6</v>
      </c>
      <c r="F34" s="6">
        <f>SUM(F3:F33)</f>
        <v>35350</v>
      </c>
      <c r="G34" s="6">
        <f>SUM(G3:G33)</f>
        <v>530</v>
      </c>
      <c r="H34" s="2"/>
      <c r="I34" s="22" t="s">
        <v>33</v>
      </c>
      <c r="J34" s="24">
        <f t="shared" ref="J34:Y34" si="3">SUM(J3:J33)</f>
        <v>70</v>
      </c>
      <c r="K34" s="24">
        <f t="shared" si="3"/>
        <v>45</v>
      </c>
      <c r="L34" s="24">
        <f t="shared" si="3"/>
        <v>17</v>
      </c>
      <c r="M34" s="24">
        <f t="shared" si="3"/>
        <v>262</v>
      </c>
      <c r="N34" s="24">
        <f t="shared" si="3"/>
        <v>132</v>
      </c>
      <c r="O34" s="24">
        <f t="shared" si="3"/>
        <v>32</v>
      </c>
      <c r="P34" s="24">
        <f t="shared" si="3"/>
        <v>32</v>
      </c>
      <c r="Q34" s="24">
        <f t="shared" si="3"/>
        <v>138</v>
      </c>
      <c r="R34" s="24">
        <f t="shared" si="3"/>
        <v>26</v>
      </c>
      <c r="S34" s="24">
        <f t="shared" si="3"/>
        <v>28</v>
      </c>
      <c r="T34" s="24">
        <f t="shared" si="3"/>
        <v>62</v>
      </c>
      <c r="U34" s="24">
        <f t="shared" si="3"/>
        <v>65</v>
      </c>
      <c r="V34" s="24">
        <f t="shared" si="3"/>
        <v>69</v>
      </c>
      <c r="W34" s="24">
        <f t="shared" si="3"/>
        <v>88</v>
      </c>
      <c r="X34" s="24">
        <f t="shared" si="3"/>
        <v>97</v>
      </c>
      <c r="Y34" s="24">
        <f t="shared" si="3"/>
        <v>1163</v>
      </c>
    </row>
    <row r="35" spans="2:25" ht="15.75" thickBot="1" x14ac:dyDescent="0.3">
      <c r="B35" s="43"/>
      <c r="C35" s="48"/>
      <c r="E35" s="136" t="s">
        <v>37</v>
      </c>
      <c r="F35" s="137"/>
      <c r="G35" s="1">
        <f>F34-G34</f>
        <v>34820</v>
      </c>
      <c r="I35"/>
    </row>
    <row r="36" spans="2:25" ht="24" x14ac:dyDescent="0.25">
      <c r="B36" s="43"/>
      <c r="C36" s="48"/>
      <c r="J36" s="8" t="s">
        <v>22</v>
      </c>
      <c r="K36" s="8" t="s">
        <v>5</v>
      </c>
      <c r="L36" s="8" t="s">
        <v>13</v>
      </c>
      <c r="M36" s="8" t="s">
        <v>14</v>
      </c>
      <c r="N36" s="8" t="s">
        <v>15</v>
      </c>
      <c r="O36" s="8" t="s">
        <v>16</v>
      </c>
      <c r="P36" s="8" t="s">
        <v>17</v>
      </c>
      <c r="Q36" s="8" t="s">
        <v>23</v>
      </c>
      <c r="R36" s="8" t="s">
        <v>24</v>
      </c>
      <c r="S36" s="8" t="s">
        <v>26</v>
      </c>
      <c r="T36" s="8" t="s">
        <v>19</v>
      </c>
      <c r="U36" s="8" t="s">
        <v>20</v>
      </c>
      <c r="V36" s="8" t="s">
        <v>21</v>
      </c>
      <c r="W36" s="8" t="s">
        <v>36</v>
      </c>
      <c r="X36" s="8" t="s">
        <v>18</v>
      </c>
    </row>
    <row r="37" spans="2:25" ht="15.75" thickBot="1" x14ac:dyDescent="0.3">
      <c r="B37" s="43"/>
      <c r="C37" s="48"/>
      <c r="J37" s="9">
        <f>J34</f>
        <v>70</v>
      </c>
      <c r="K37" s="9">
        <f t="shared" ref="K37:X37" si="4">K34</f>
        <v>45</v>
      </c>
      <c r="L37" s="9">
        <f t="shared" si="4"/>
        <v>17</v>
      </c>
      <c r="M37" s="9">
        <f t="shared" si="4"/>
        <v>262</v>
      </c>
      <c r="N37" s="9">
        <f t="shared" si="4"/>
        <v>132</v>
      </c>
      <c r="O37" s="9">
        <f t="shared" si="4"/>
        <v>32</v>
      </c>
      <c r="P37" s="9">
        <f t="shared" si="4"/>
        <v>32</v>
      </c>
      <c r="Q37" s="9">
        <f t="shared" si="4"/>
        <v>138</v>
      </c>
      <c r="R37" s="9">
        <f t="shared" si="4"/>
        <v>26</v>
      </c>
      <c r="S37" s="9">
        <f t="shared" si="4"/>
        <v>28</v>
      </c>
      <c r="T37" s="9">
        <f t="shared" si="4"/>
        <v>62</v>
      </c>
      <c r="U37" s="9">
        <f t="shared" si="4"/>
        <v>65</v>
      </c>
      <c r="V37" s="9">
        <f t="shared" si="4"/>
        <v>69</v>
      </c>
      <c r="W37" s="9">
        <f t="shared" si="4"/>
        <v>88</v>
      </c>
      <c r="X37" s="9">
        <f t="shared" si="4"/>
        <v>97</v>
      </c>
    </row>
    <row r="38" spans="2:25" x14ac:dyDescent="0.25">
      <c r="B38" s="45"/>
      <c r="C38" s="45"/>
      <c r="I38" s="21"/>
      <c r="J38" s="10">
        <f>J34*'[3]Себестоимость '!D17</f>
        <v>651.58333333333337</v>
      </c>
      <c r="K38" s="10">
        <f>K34*'[3]Себестоимость '!E17</f>
        <v>373.2</v>
      </c>
      <c r="L38" s="10">
        <f>L34*'[3]Себестоимость '!F17</f>
        <v>150.93166666666667</v>
      </c>
      <c r="M38" s="10">
        <f>M34*'[3]Себестоимость '!G17</f>
        <v>2516.0733333333328</v>
      </c>
      <c r="N38" s="10">
        <f>N34*'[3]Себестоимость '!H17</f>
        <v>1202.8279999999997</v>
      </c>
      <c r="O38" s="10">
        <f>O34*'[3]Себестоимость '!I17</f>
        <v>115.94666666666667</v>
      </c>
      <c r="P38" s="10" t="e">
        <f>P34*'[3]Себестоимость '!J17</f>
        <v>#REF!</v>
      </c>
      <c r="Q38" s="10">
        <f>Q34*'[3]Себестоимость '!K17</f>
        <v>444.35999999999996</v>
      </c>
      <c r="R38" s="10">
        <f>R34*'[3]Себестоимость '!L17</f>
        <v>117.78</v>
      </c>
      <c r="S38" s="10">
        <f>S34*'[3]Себестоимость '!M17</f>
        <v>95.956000000000003</v>
      </c>
      <c r="T38" s="10">
        <f>T34*'[3]Себестоимость '!N17</f>
        <v>229.71</v>
      </c>
      <c r="U38" s="10">
        <f>U34*'[3]Себестоимость '!O17</f>
        <v>332.47500000000002</v>
      </c>
      <c r="V38" s="10">
        <f>V34*'[3]Себестоимость '!P17</f>
        <v>305.66999999999996</v>
      </c>
      <c r="W38" s="10">
        <f>W34*'[3]Себестоимость '!Q17</f>
        <v>428.11999999999995</v>
      </c>
      <c r="X38" s="10">
        <f>X34*'[3]Себестоимость '!R17</f>
        <v>458.32499999999999</v>
      </c>
      <c r="Y38" s="73" t="s">
        <v>30</v>
      </c>
    </row>
    <row r="39" spans="2:25" ht="15.75" thickBot="1" x14ac:dyDescent="0.3">
      <c r="B39" s="138"/>
      <c r="C39" s="138"/>
      <c r="Y39" s="74" t="s">
        <v>29</v>
      </c>
    </row>
    <row r="40" spans="2:25" x14ac:dyDescent="0.25">
      <c r="B40" s="46"/>
      <c r="C40" s="47"/>
    </row>
    <row r="41" spans="2:25" x14ac:dyDescent="0.25">
      <c r="B41" s="43"/>
      <c r="C41" s="48"/>
    </row>
    <row r="42" spans="2:25" x14ac:dyDescent="0.25">
      <c r="B42" s="45"/>
      <c r="C42" s="45"/>
    </row>
    <row r="43" spans="2:25" x14ac:dyDescent="0.25">
      <c r="B43" s="138"/>
      <c r="C43" s="138"/>
    </row>
    <row r="44" spans="2:25" x14ac:dyDescent="0.25">
      <c r="B44" s="33"/>
      <c r="C44" s="34"/>
    </row>
    <row r="45" spans="2:25" x14ac:dyDescent="0.25">
      <c r="B45" s="43"/>
      <c r="C45" s="44"/>
    </row>
  </sheetData>
  <mergeCells count="10">
    <mergeCell ref="A23:A28"/>
    <mergeCell ref="E35:F35"/>
    <mergeCell ref="B39:C39"/>
    <mergeCell ref="B43:C43"/>
    <mergeCell ref="A6:A16"/>
    <mergeCell ref="B1:C1"/>
    <mergeCell ref="E1:H1"/>
    <mergeCell ref="I1:I2"/>
    <mergeCell ref="Y1:Y2"/>
    <mergeCell ref="B2:C2"/>
  </mergeCells>
  <conditionalFormatting sqref="Y3:Y33">
    <cfRule type="cellIs" dxfId="37" priority="6" operator="equal">
      <formula>0</formula>
    </cfRule>
  </conditionalFormatting>
  <conditionalFormatting sqref="E3:E33">
    <cfRule type="cellIs" dxfId="36" priority="5" operator="equal">
      <formula>$Z$1</formula>
    </cfRule>
  </conditionalFormatting>
  <conditionalFormatting sqref="I3:I33">
    <cfRule type="cellIs" dxfId="35" priority="4" operator="equal">
      <formula>$Z$1</formula>
    </cfRule>
  </conditionalFormatting>
  <conditionalFormatting sqref="I34">
    <cfRule type="expression" dxfId="34" priority="3">
      <formula>$E$3:$E$32=TODAY()</formula>
    </cfRule>
  </conditionalFormatting>
  <conditionalFormatting sqref="I34">
    <cfRule type="cellIs" dxfId="33" priority="2" operator="equal">
      <formula>$Z$1</formula>
    </cfRule>
  </conditionalFormatting>
  <conditionalFormatting sqref="E28:F28 I28:Y28 E3:Y27 E29:Y33">
    <cfRule type="expression" dxfId="32" priority="7">
      <formula>$E3=$Z$1</formula>
    </cfRule>
  </conditionalFormatting>
  <conditionalFormatting sqref="G28:H28">
    <cfRule type="expression" dxfId="31" priority="1">
      <formula>$E28=$Z$1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Z45"/>
  <sheetViews>
    <sheetView topLeftCell="D1" zoomScale="85" zoomScaleNormal="85" workbookViewId="0">
      <pane ySplit="2" topLeftCell="A12" activePane="bottomLeft" state="frozen"/>
      <selection activeCell="C15" sqref="C15"/>
      <selection pane="bottomLeft" activeCell="J36" sqref="J36"/>
    </sheetView>
  </sheetViews>
  <sheetFormatPr defaultRowHeight="15" x14ac:dyDescent="0.25"/>
  <cols>
    <col min="1" max="1" width="6.5703125" customWidth="1"/>
    <col min="2" max="2" width="30.42578125" bestFit="1" customWidth="1"/>
    <col min="3" max="3" width="15.28515625" customWidth="1"/>
    <col min="5" max="5" width="8.42578125" bestFit="1" customWidth="1"/>
    <col min="6" max="6" width="12.7109375" bestFit="1" customWidth="1"/>
    <col min="7" max="7" width="12.140625" bestFit="1" customWidth="1"/>
    <col min="8" max="8" width="48.42578125" bestFit="1" customWidth="1"/>
    <col min="9" max="9" width="8.7109375" style="20" bestFit="1" customWidth="1"/>
    <col min="10" max="10" width="12.28515625" customWidth="1"/>
    <col min="11" max="11" width="11.28515625" customWidth="1"/>
    <col min="12" max="12" width="10.140625" customWidth="1"/>
    <col min="13" max="16" width="9.28515625" bestFit="1" customWidth="1"/>
    <col min="17" max="17" width="9.85546875" bestFit="1" customWidth="1"/>
    <col min="18" max="22" width="9.28515625" bestFit="1" customWidth="1"/>
    <col min="23" max="23" width="11" customWidth="1"/>
    <col min="24" max="24" width="10.5703125" bestFit="1" customWidth="1"/>
    <col min="25" max="25" width="9.7109375" style="5" customWidth="1"/>
    <col min="26" max="26" width="10.28515625" bestFit="1" customWidth="1"/>
    <col min="249" max="249" width="30.42578125" bestFit="1" customWidth="1"/>
    <col min="250" max="250" width="12.140625" customWidth="1"/>
    <col min="251" max="251" width="29.140625" bestFit="1" customWidth="1"/>
    <col min="252" max="252" width="12.5703125" customWidth="1"/>
    <col min="254" max="254" width="24" customWidth="1"/>
    <col min="255" max="255" width="22.28515625" customWidth="1"/>
    <col min="257" max="257" width="10.140625" bestFit="1" customWidth="1"/>
    <col min="258" max="258" width="12.7109375" bestFit="1" customWidth="1"/>
    <col min="259" max="259" width="12.140625" bestFit="1" customWidth="1"/>
    <col min="260" max="260" width="24.42578125" bestFit="1" customWidth="1"/>
    <col min="505" max="505" width="30.42578125" bestFit="1" customWidth="1"/>
    <col min="506" max="506" width="12.140625" customWidth="1"/>
    <col min="507" max="507" width="29.140625" bestFit="1" customWidth="1"/>
    <col min="508" max="508" width="12.5703125" customWidth="1"/>
    <col min="510" max="510" width="24" customWidth="1"/>
    <col min="511" max="511" width="22.28515625" customWidth="1"/>
    <col min="513" max="513" width="10.140625" bestFit="1" customWidth="1"/>
    <col min="514" max="514" width="12.7109375" bestFit="1" customWidth="1"/>
    <col min="515" max="515" width="12.140625" bestFit="1" customWidth="1"/>
    <col min="516" max="516" width="24.42578125" bestFit="1" customWidth="1"/>
    <col min="761" max="761" width="30.42578125" bestFit="1" customWidth="1"/>
    <col min="762" max="762" width="12.140625" customWidth="1"/>
    <col min="763" max="763" width="29.140625" bestFit="1" customWidth="1"/>
    <col min="764" max="764" width="12.5703125" customWidth="1"/>
    <col min="766" max="766" width="24" customWidth="1"/>
    <col min="767" max="767" width="22.28515625" customWidth="1"/>
    <col min="769" max="769" width="10.140625" bestFit="1" customWidth="1"/>
    <col min="770" max="770" width="12.7109375" bestFit="1" customWidth="1"/>
    <col min="771" max="771" width="12.140625" bestFit="1" customWidth="1"/>
    <col min="772" max="772" width="24.42578125" bestFit="1" customWidth="1"/>
    <col min="1017" max="1017" width="30.42578125" bestFit="1" customWidth="1"/>
    <col min="1018" max="1018" width="12.140625" customWidth="1"/>
    <col min="1019" max="1019" width="29.140625" bestFit="1" customWidth="1"/>
    <col min="1020" max="1020" width="12.5703125" customWidth="1"/>
    <col min="1022" max="1022" width="24" customWidth="1"/>
    <col min="1023" max="1023" width="22.28515625" customWidth="1"/>
    <col min="1025" max="1025" width="10.140625" bestFit="1" customWidth="1"/>
    <col min="1026" max="1026" width="12.7109375" bestFit="1" customWidth="1"/>
    <col min="1027" max="1027" width="12.140625" bestFit="1" customWidth="1"/>
    <col min="1028" max="1028" width="24.42578125" bestFit="1" customWidth="1"/>
    <col min="1273" max="1273" width="30.42578125" bestFit="1" customWidth="1"/>
    <col min="1274" max="1274" width="12.140625" customWidth="1"/>
    <col min="1275" max="1275" width="29.140625" bestFit="1" customWidth="1"/>
    <col min="1276" max="1276" width="12.5703125" customWidth="1"/>
    <col min="1278" max="1278" width="24" customWidth="1"/>
    <col min="1279" max="1279" width="22.28515625" customWidth="1"/>
    <col min="1281" max="1281" width="10.140625" bestFit="1" customWidth="1"/>
    <col min="1282" max="1282" width="12.7109375" bestFit="1" customWidth="1"/>
    <col min="1283" max="1283" width="12.140625" bestFit="1" customWidth="1"/>
    <col min="1284" max="1284" width="24.42578125" bestFit="1" customWidth="1"/>
    <col min="1529" max="1529" width="30.42578125" bestFit="1" customWidth="1"/>
    <col min="1530" max="1530" width="12.140625" customWidth="1"/>
    <col min="1531" max="1531" width="29.140625" bestFit="1" customWidth="1"/>
    <col min="1532" max="1532" width="12.5703125" customWidth="1"/>
    <col min="1534" max="1534" width="24" customWidth="1"/>
    <col min="1535" max="1535" width="22.28515625" customWidth="1"/>
    <col min="1537" max="1537" width="10.140625" bestFit="1" customWidth="1"/>
    <col min="1538" max="1538" width="12.7109375" bestFit="1" customWidth="1"/>
    <col min="1539" max="1539" width="12.140625" bestFit="1" customWidth="1"/>
    <col min="1540" max="1540" width="24.42578125" bestFit="1" customWidth="1"/>
    <col min="1785" max="1785" width="30.42578125" bestFit="1" customWidth="1"/>
    <col min="1786" max="1786" width="12.140625" customWidth="1"/>
    <col min="1787" max="1787" width="29.140625" bestFit="1" customWidth="1"/>
    <col min="1788" max="1788" width="12.5703125" customWidth="1"/>
    <col min="1790" max="1790" width="24" customWidth="1"/>
    <col min="1791" max="1791" width="22.28515625" customWidth="1"/>
    <col min="1793" max="1793" width="10.140625" bestFit="1" customWidth="1"/>
    <col min="1794" max="1794" width="12.7109375" bestFit="1" customWidth="1"/>
    <col min="1795" max="1795" width="12.140625" bestFit="1" customWidth="1"/>
    <col min="1796" max="1796" width="24.42578125" bestFit="1" customWidth="1"/>
    <col min="2041" max="2041" width="30.42578125" bestFit="1" customWidth="1"/>
    <col min="2042" max="2042" width="12.140625" customWidth="1"/>
    <col min="2043" max="2043" width="29.140625" bestFit="1" customWidth="1"/>
    <col min="2044" max="2044" width="12.5703125" customWidth="1"/>
    <col min="2046" max="2046" width="24" customWidth="1"/>
    <col min="2047" max="2047" width="22.28515625" customWidth="1"/>
    <col min="2049" max="2049" width="10.140625" bestFit="1" customWidth="1"/>
    <col min="2050" max="2050" width="12.7109375" bestFit="1" customWidth="1"/>
    <col min="2051" max="2051" width="12.140625" bestFit="1" customWidth="1"/>
    <col min="2052" max="2052" width="24.42578125" bestFit="1" customWidth="1"/>
    <col min="2297" max="2297" width="30.42578125" bestFit="1" customWidth="1"/>
    <col min="2298" max="2298" width="12.140625" customWidth="1"/>
    <col min="2299" max="2299" width="29.140625" bestFit="1" customWidth="1"/>
    <col min="2300" max="2300" width="12.5703125" customWidth="1"/>
    <col min="2302" max="2302" width="24" customWidth="1"/>
    <col min="2303" max="2303" width="22.28515625" customWidth="1"/>
    <col min="2305" max="2305" width="10.140625" bestFit="1" customWidth="1"/>
    <col min="2306" max="2306" width="12.7109375" bestFit="1" customWidth="1"/>
    <col min="2307" max="2307" width="12.140625" bestFit="1" customWidth="1"/>
    <col min="2308" max="2308" width="24.42578125" bestFit="1" customWidth="1"/>
    <col min="2553" max="2553" width="30.42578125" bestFit="1" customWidth="1"/>
    <col min="2554" max="2554" width="12.140625" customWidth="1"/>
    <col min="2555" max="2555" width="29.140625" bestFit="1" customWidth="1"/>
    <col min="2556" max="2556" width="12.5703125" customWidth="1"/>
    <col min="2558" max="2558" width="24" customWidth="1"/>
    <col min="2559" max="2559" width="22.28515625" customWidth="1"/>
    <col min="2561" max="2561" width="10.140625" bestFit="1" customWidth="1"/>
    <col min="2562" max="2562" width="12.7109375" bestFit="1" customWidth="1"/>
    <col min="2563" max="2563" width="12.140625" bestFit="1" customWidth="1"/>
    <col min="2564" max="2564" width="24.42578125" bestFit="1" customWidth="1"/>
    <col min="2809" max="2809" width="30.42578125" bestFit="1" customWidth="1"/>
    <col min="2810" max="2810" width="12.140625" customWidth="1"/>
    <col min="2811" max="2811" width="29.140625" bestFit="1" customWidth="1"/>
    <col min="2812" max="2812" width="12.5703125" customWidth="1"/>
    <col min="2814" max="2814" width="24" customWidth="1"/>
    <col min="2815" max="2815" width="22.28515625" customWidth="1"/>
    <col min="2817" max="2817" width="10.140625" bestFit="1" customWidth="1"/>
    <col min="2818" max="2818" width="12.7109375" bestFit="1" customWidth="1"/>
    <col min="2819" max="2819" width="12.140625" bestFit="1" customWidth="1"/>
    <col min="2820" max="2820" width="24.42578125" bestFit="1" customWidth="1"/>
    <col min="3065" max="3065" width="30.42578125" bestFit="1" customWidth="1"/>
    <col min="3066" max="3066" width="12.140625" customWidth="1"/>
    <col min="3067" max="3067" width="29.140625" bestFit="1" customWidth="1"/>
    <col min="3068" max="3068" width="12.5703125" customWidth="1"/>
    <col min="3070" max="3070" width="24" customWidth="1"/>
    <col min="3071" max="3071" width="22.28515625" customWidth="1"/>
    <col min="3073" max="3073" width="10.140625" bestFit="1" customWidth="1"/>
    <col min="3074" max="3074" width="12.7109375" bestFit="1" customWidth="1"/>
    <col min="3075" max="3075" width="12.140625" bestFit="1" customWidth="1"/>
    <col min="3076" max="3076" width="24.42578125" bestFit="1" customWidth="1"/>
    <col min="3321" max="3321" width="30.42578125" bestFit="1" customWidth="1"/>
    <col min="3322" max="3322" width="12.140625" customWidth="1"/>
    <col min="3323" max="3323" width="29.140625" bestFit="1" customWidth="1"/>
    <col min="3324" max="3324" width="12.5703125" customWidth="1"/>
    <col min="3326" max="3326" width="24" customWidth="1"/>
    <col min="3327" max="3327" width="22.28515625" customWidth="1"/>
    <col min="3329" max="3329" width="10.140625" bestFit="1" customWidth="1"/>
    <col min="3330" max="3330" width="12.7109375" bestFit="1" customWidth="1"/>
    <col min="3331" max="3331" width="12.140625" bestFit="1" customWidth="1"/>
    <col min="3332" max="3332" width="24.42578125" bestFit="1" customWidth="1"/>
    <col min="3577" max="3577" width="30.42578125" bestFit="1" customWidth="1"/>
    <col min="3578" max="3578" width="12.140625" customWidth="1"/>
    <col min="3579" max="3579" width="29.140625" bestFit="1" customWidth="1"/>
    <col min="3580" max="3580" width="12.5703125" customWidth="1"/>
    <col min="3582" max="3582" width="24" customWidth="1"/>
    <col min="3583" max="3583" width="22.28515625" customWidth="1"/>
    <col min="3585" max="3585" width="10.140625" bestFit="1" customWidth="1"/>
    <col min="3586" max="3586" width="12.7109375" bestFit="1" customWidth="1"/>
    <col min="3587" max="3587" width="12.140625" bestFit="1" customWidth="1"/>
    <col min="3588" max="3588" width="24.42578125" bestFit="1" customWidth="1"/>
    <col min="3833" max="3833" width="30.42578125" bestFit="1" customWidth="1"/>
    <col min="3834" max="3834" width="12.140625" customWidth="1"/>
    <col min="3835" max="3835" width="29.140625" bestFit="1" customWidth="1"/>
    <col min="3836" max="3836" width="12.5703125" customWidth="1"/>
    <col min="3838" max="3838" width="24" customWidth="1"/>
    <col min="3839" max="3839" width="22.28515625" customWidth="1"/>
    <col min="3841" max="3841" width="10.140625" bestFit="1" customWidth="1"/>
    <col min="3842" max="3842" width="12.7109375" bestFit="1" customWidth="1"/>
    <col min="3843" max="3843" width="12.140625" bestFit="1" customWidth="1"/>
    <col min="3844" max="3844" width="24.42578125" bestFit="1" customWidth="1"/>
    <col min="4089" max="4089" width="30.42578125" bestFit="1" customWidth="1"/>
    <col min="4090" max="4090" width="12.140625" customWidth="1"/>
    <col min="4091" max="4091" width="29.140625" bestFit="1" customWidth="1"/>
    <col min="4092" max="4092" width="12.5703125" customWidth="1"/>
    <col min="4094" max="4094" width="24" customWidth="1"/>
    <col min="4095" max="4095" width="22.28515625" customWidth="1"/>
    <col min="4097" max="4097" width="10.140625" bestFit="1" customWidth="1"/>
    <col min="4098" max="4098" width="12.7109375" bestFit="1" customWidth="1"/>
    <col min="4099" max="4099" width="12.140625" bestFit="1" customWidth="1"/>
    <col min="4100" max="4100" width="24.42578125" bestFit="1" customWidth="1"/>
    <col min="4345" max="4345" width="30.42578125" bestFit="1" customWidth="1"/>
    <col min="4346" max="4346" width="12.140625" customWidth="1"/>
    <col min="4347" max="4347" width="29.140625" bestFit="1" customWidth="1"/>
    <col min="4348" max="4348" width="12.5703125" customWidth="1"/>
    <col min="4350" max="4350" width="24" customWidth="1"/>
    <col min="4351" max="4351" width="22.28515625" customWidth="1"/>
    <col min="4353" max="4353" width="10.140625" bestFit="1" customWidth="1"/>
    <col min="4354" max="4354" width="12.7109375" bestFit="1" customWidth="1"/>
    <col min="4355" max="4355" width="12.140625" bestFit="1" customWidth="1"/>
    <col min="4356" max="4356" width="24.42578125" bestFit="1" customWidth="1"/>
    <col min="4601" max="4601" width="30.42578125" bestFit="1" customWidth="1"/>
    <col min="4602" max="4602" width="12.140625" customWidth="1"/>
    <col min="4603" max="4603" width="29.140625" bestFit="1" customWidth="1"/>
    <col min="4604" max="4604" width="12.5703125" customWidth="1"/>
    <col min="4606" max="4606" width="24" customWidth="1"/>
    <col min="4607" max="4607" width="22.28515625" customWidth="1"/>
    <col min="4609" max="4609" width="10.140625" bestFit="1" customWidth="1"/>
    <col min="4610" max="4610" width="12.7109375" bestFit="1" customWidth="1"/>
    <col min="4611" max="4611" width="12.140625" bestFit="1" customWidth="1"/>
    <col min="4612" max="4612" width="24.42578125" bestFit="1" customWidth="1"/>
    <col min="4857" max="4857" width="30.42578125" bestFit="1" customWidth="1"/>
    <col min="4858" max="4858" width="12.140625" customWidth="1"/>
    <col min="4859" max="4859" width="29.140625" bestFit="1" customWidth="1"/>
    <col min="4860" max="4860" width="12.5703125" customWidth="1"/>
    <col min="4862" max="4862" width="24" customWidth="1"/>
    <col min="4863" max="4863" width="22.28515625" customWidth="1"/>
    <col min="4865" max="4865" width="10.140625" bestFit="1" customWidth="1"/>
    <col min="4866" max="4866" width="12.7109375" bestFit="1" customWidth="1"/>
    <col min="4867" max="4867" width="12.140625" bestFit="1" customWidth="1"/>
    <col min="4868" max="4868" width="24.42578125" bestFit="1" customWidth="1"/>
    <col min="5113" max="5113" width="30.42578125" bestFit="1" customWidth="1"/>
    <col min="5114" max="5114" width="12.140625" customWidth="1"/>
    <col min="5115" max="5115" width="29.140625" bestFit="1" customWidth="1"/>
    <col min="5116" max="5116" width="12.5703125" customWidth="1"/>
    <col min="5118" max="5118" width="24" customWidth="1"/>
    <col min="5119" max="5119" width="22.28515625" customWidth="1"/>
    <col min="5121" max="5121" width="10.140625" bestFit="1" customWidth="1"/>
    <col min="5122" max="5122" width="12.7109375" bestFit="1" customWidth="1"/>
    <col min="5123" max="5123" width="12.140625" bestFit="1" customWidth="1"/>
    <col min="5124" max="5124" width="24.42578125" bestFit="1" customWidth="1"/>
    <col min="5369" max="5369" width="30.42578125" bestFit="1" customWidth="1"/>
    <col min="5370" max="5370" width="12.140625" customWidth="1"/>
    <col min="5371" max="5371" width="29.140625" bestFit="1" customWidth="1"/>
    <col min="5372" max="5372" width="12.5703125" customWidth="1"/>
    <col min="5374" max="5374" width="24" customWidth="1"/>
    <col min="5375" max="5375" width="22.28515625" customWidth="1"/>
    <col min="5377" max="5377" width="10.140625" bestFit="1" customWidth="1"/>
    <col min="5378" max="5378" width="12.7109375" bestFit="1" customWidth="1"/>
    <col min="5379" max="5379" width="12.140625" bestFit="1" customWidth="1"/>
    <col min="5380" max="5380" width="24.42578125" bestFit="1" customWidth="1"/>
    <col min="5625" max="5625" width="30.42578125" bestFit="1" customWidth="1"/>
    <col min="5626" max="5626" width="12.140625" customWidth="1"/>
    <col min="5627" max="5627" width="29.140625" bestFit="1" customWidth="1"/>
    <col min="5628" max="5628" width="12.5703125" customWidth="1"/>
    <col min="5630" max="5630" width="24" customWidth="1"/>
    <col min="5631" max="5631" width="22.28515625" customWidth="1"/>
    <col min="5633" max="5633" width="10.140625" bestFit="1" customWidth="1"/>
    <col min="5634" max="5634" width="12.7109375" bestFit="1" customWidth="1"/>
    <col min="5635" max="5635" width="12.140625" bestFit="1" customWidth="1"/>
    <col min="5636" max="5636" width="24.42578125" bestFit="1" customWidth="1"/>
    <col min="5881" max="5881" width="30.42578125" bestFit="1" customWidth="1"/>
    <col min="5882" max="5882" width="12.140625" customWidth="1"/>
    <col min="5883" max="5883" width="29.140625" bestFit="1" customWidth="1"/>
    <col min="5884" max="5884" width="12.5703125" customWidth="1"/>
    <col min="5886" max="5886" width="24" customWidth="1"/>
    <col min="5887" max="5887" width="22.28515625" customWidth="1"/>
    <col min="5889" max="5889" width="10.140625" bestFit="1" customWidth="1"/>
    <col min="5890" max="5890" width="12.7109375" bestFit="1" customWidth="1"/>
    <col min="5891" max="5891" width="12.140625" bestFit="1" customWidth="1"/>
    <col min="5892" max="5892" width="24.42578125" bestFit="1" customWidth="1"/>
    <col min="6137" max="6137" width="30.42578125" bestFit="1" customWidth="1"/>
    <col min="6138" max="6138" width="12.140625" customWidth="1"/>
    <col min="6139" max="6139" width="29.140625" bestFit="1" customWidth="1"/>
    <col min="6140" max="6140" width="12.5703125" customWidth="1"/>
    <col min="6142" max="6142" width="24" customWidth="1"/>
    <col min="6143" max="6143" width="22.28515625" customWidth="1"/>
    <col min="6145" max="6145" width="10.140625" bestFit="1" customWidth="1"/>
    <col min="6146" max="6146" width="12.7109375" bestFit="1" customWidth="1"/>
    <col min="6147" max="6147" width="12.140625" bestFit="1" customWidth="1"/>
    <col min="6148" max="6148" width="24.42578125" bestFit="1" customWidth="1"/>
    <col min="6393" max="6393" width="30.42578125" bestFit="1" customWidth="1"/>
    <col min="6394" max="6394" width="12.140625" customWidth="1"/>
    <col min="6395" max="6395" width="29.140625" bestFit="1" customWidth="1"/>
    <col min="6396" max="6396" width="12.5703125" customWidth="1"/>
    <col min="6398" max="6398" width="24" customWidth="1"/>
    <col min="6399" max="6399" width="22.28515625" customWidth="1"/>
    <col min="6401" max="6401" width="10.140625" bestFit="1" customWidth="1"/>
    <col min="6402" max="6402" width="12.7109375" bestFit="1" customWidth="1"/>
    <col min="6403" max="6403" width="12.140625" bestFit="1" customWidth="1"/>
    <col min="6404" max="6404" width="24.42578125" bestFit="1" customWidth="1"/>
    <col min="6649" max="6649" width="30.42578125" bestFit="1" customWidth="1"/>
    <col min="6650" max="6650" width="12.140625" customWidth="1"/>
    <col min="6651" max="6651" width="29.140625" bestFit="1" customWidth="1"/>
    <col min="6652" max="6652" width="12.5703125" customWidth="1"/>
    <col min="6654" max="6654" width="24" customWidth="1"/>
    <col min="6655" max="6655" width="22.28515625" customWidth="1"/>
    <col min="6657" max="6657" width="10.140625" bestFit="1" customWidth="1"/>
    <col min="6658" max="6658" width="12.7109375" bestFit="1" customWidth="1"/>
    <col min="6659" max="6659" width="12.140625" bestFit="1" customWidth="1"/>
    <col min="6660" max="6660" width="24.42578125" bestFit="1" customWidth="1"/>
    <col min="6905" max="6905" width="30.42578125" bestFit="1" customWidth="1"/>
    <col min="6906" max="6906" width="12.140625" customWidth="1"/>
    <col min="6907" max="6907" width="29.140625" bestFit="1" customWidth="1"/>
    <col min="6908" max="6908" width="12.5703125" customWidth="1"/>
    <col min="6910" max="6910" width="24" customWidth="1"/>
    <col min="6911" max="6911" width="22.28515625" customWidth="1"/>
    <col min="6913" max="6913" width="10.140625" bestFit="1" customWidth="1"/>
    <col min="6914" max="6914" width="12.7109375" bestFit="1" customWidth="1"/>
    <col min="6915" max="6915" width="12.140625" bestFit="1" customWidth="1"/>
    <col min="6916" max="6916" width="24.42578125" bestFit="1" customWidth="1"/>
    <col min="7161" max="7161" width="30.42578125" bestFit="1" customWidth="1"/>
    <col min="7162" max="7162" width="12.140625" customWidth="1"/>
    <col min="7163" max="7163" width="29.140625" bestFit="1" customWidth="1"/>
    <col min="7164" max="7164" width="12.5703125" customWidth="1"/>
    <col min="7166" max="7166" width="24" customWidth="1"/>
    <col min="7167" max="7167" width="22.28515625" customWidth="1"/>
    <col min="7169" max="7169" width="10.140625" bestFit="1" customWidth="1"/>
    <col min="7170" max="7170" width="12.7109375" bestFit="1" customWidth="1"/>
    <col min="7171" max="7171" width="12.140625" bestFit="1" customWidth="1"/>
    <col min="7172" max="7172" width="24.42578125" bestFit="1" customWidth="1"/>
    <col min="7417" max="7417" width="30.42578125" bestFit="1" customWidth="1"/>
    <col min="7418" max="7418" width="12.140625" customWidth="1"/>
    <col min="7419" max="7419" width="29.140625" bestFit="1" customWidth="1"/>
    <col min="7420" max="7420" width="12.5703125" customWidth="1"/>
    <col min="7422" max="7422" width="24" customWidth="1"/>
    <col min="7423" max="7423" width="22.28515625" customWidth="1"/>
    <col min="7425" max="7425" width="10.140625" bestFit="1" customWidth="1"/>
    <col min="7426" max="7426" width="12.7109375" bestFit="1" customWidth="1"/>
    <col min="7427" max="7427" width="12.140625" bestFit="1" customWidth="1"/>
    <col min="7428" max="7428" width="24.42578125" bestFit="1" customWidth="1"/>
    <col min="7673" max="7673" width="30.42578125" bestFit="1" customWidth="1"/>
    <col min="7674" max="7674" width="12.140625" customWidth="1"/>
    <col min="7675" max="7675" width="29.140625" bestFit="1" customWidth="1"/>
    <col min="7676" max="7676" width="12.5703125" customWidth="1"/>
    <col min="7678" max="7678" width="24" customWidth="1"/>
    <col min="7679" max="7679" width="22.28515625" customWidth="1"/>
    <col min="7681" max="7681" width="10.140625" bestFit="1" customWidth="1"/>
    <col min="7682" max="7682" width="12.7109375" bestFit="1" customWidth="1"/>
    <col min="7683" max="7683" width="12.140625" bestFit="1" customWidth="1"/>
    <col min="7684" max="7684" width="24.42578125" bestFit="1" customWidth="1"/>
    <col min="7929" max="7929" width="30.42578125" bestFit="1" customWidth="1"/>
    <col min="7930" max="7930" width="12.140625" customWidth="1"/>
    <col min="7931" max="7931" width="29.140625" bestFit="1" customWidth="1"/>
    <col min="7932" max="7932" width="12.5703125" customWidth="1"/>
    <col min="7934" max="7934" width="24" customWidth="1"/>
    <col min="7935" max="7935" width="22.28515625" customWidth="1"/>
    <col min="7937" max="7937" width="10.140625" bestFit="1" customWidth="1"/>
    <col min="7938" max="7938" width="12.7109375" bestFit="1" customWidth="1"/>
    <col min="7939" max="7939" width="12.140625" bestFit="1" customWidth="1"/>
    <col min="7940" max="7940" width="24.42578125" bestFit="1" customWidth="1"/>
    <col min="8185" max="8185" width="30.42578125" bestFit="1" customWidth="1"/>
    <col min="8186" max="8186" width="12.140625" customWidth="1"/>
    <col min="8187" max="8187" width="29.140625" bestFit="1" customWidth="1"/>
    <col min="8188" max="8188" width="12.5703125" customWidth="1"/>
    <col min="8190" max="8190" width="24" customWidth="1"/>
    <col min="8191" max="8191" width="22.28515625" customWidth="1"/>
    <col min="8193" max="8193" width="10.140625" bestFit="1" customWidth="1"/>
    <col min="8194" max="8194" width="12.7109375" bestFit="1" customWidth="1"/>
    <col min="8195" max="8195" width="12.140625" bestFit="1" customWidth="1"/>
    <col min="8196" max="8196" width="24.42578125" bestFit="1" customWidth="1"/>
    <col min="8441" max="8441" width="30.42578125" bestFit="1" customWidth="1"/>
    <col min="8442" max="8442" width="12.140625" customWidth="1"/>
    <col min="8443" max="8443" width="29.140625" bestFit="1" customWidth="1"/>
    <col min="8444" max="8444" width="12.5703125" customWidth="1"/>
    <col min="8446" max="8446" width="24" customWidth="1"/>
    <col min="8447" max="8447" width="22.28515625" customWidth="1"/>
    <col min="8449" max="8449" width="10.140625" bestFit="1" customWidth="1"/>
    <col min="8450" max="8450" width="12.7109375" bestFit="1" customWidth="1"/>
    <col min="8451" max="8451" width="12.140625" bestFit="1" customWidth="1"/>
    <col min="8452" max="8452" width="24.42578125" bestFit="1" customWidth="1"/>
    <col min="8697" max="8697" width="30.42578125" bestFit="1" customWidth="1"/>
    <col min="8698" max="8698" width="12.140625" customWidth="1"/>
    <col min="8699" max="8699" width="29.140625" bestFit="1" customWidth="1"/>
    <col min="8700" max="8700" width="12.5703125" customWidth="1"/>
    <col min="8702" max="8702" width="24" customWidth="1"/>
    <col min="8703" max="8703" width="22.28515625" customWidth="1"/>
    <col min="8705" max="8705" width="10.140625" bestFit="1" customWidth="1"/>
    <col min="8706" max="8706" width="12.7109375" bestFit="1" customWidth="1"/>
    <col min="8707" max="8707" width="12.140625" bestFit="1" customWidth="1"/>
    <col min="8708" max="8708" width="24.42578125" bestFit="1" customWidth="1"/>
    <col min="8953" max="8953" width="30.42578125" bestFit="1" customWidth="1"/>
    <col min="8954" max="8954" width="12.140625" customWidth="1"/>
    <col min="8955" max="8955" width="29.140625" bestFit="1" customWidth="1"/>
    <col min="8956" max="8956" width="12.5703125" customWidth="1"/>
    <col min="8958" max="8958" width="24" customWidth="1"/>
    <col min="8959" max="8959" width="22.28515625" customWidth="1"/>
    <col min="8961" max="8961" width="10.140625" bestFit="1" customWidth="1"/>
    <col min="8962" max="8962" width="12.7109375" bestFit="1" customWidth="1"/>
    <col min="8963" max="8963" width="12.140625" bestFit="1" customWidth="1"/>
    <col min="8964" max="8964" width="24.42578125" bestFit="1" customWidth="1"/>
    <col min="9209" max="9209" width="30.42578125" bestFit="1" customWidth="1"/>
    <col min="9210" max="9210" width="12.140625" customWidth="1"/>
    <col min="9211" max="9211" width="29.140625" bestFit="1" customWidth="1"/>
    <col min="9212" max="9212" width="12.5703125" customWidth="1"/>
    <col min="9214" max="9214" width="24" customWidth="1"/>
    <col min="9215" max="9215" width="22.28515625" customWidth="1"/>
    <col min="9217" max="9217" width="10.140625" bestFit="1" customWidth="1"/>
    <col min="9218" max="9218" width="12.7109375" bestFit="1" customWidth="1"/>
    <col min="9219" max="9219" width="12.140625" bestFit="1" customWidth="1"/>
    <col min="9220" max="9220" width="24.42578125" bestFit="1" customWidth="1"/>
    <col min="9465" max="9465" width="30.42578125" bestFit="1" customWidth="1"/>
    <col min="9466" max="9466" width="12.140625" customWidth="1"/>
    <col min="9467" max="9467" width="29.140625" bestFit="1" customWidth="1"/>
    <col min="9468" max="9468" width="12.5703125" customWidth="1"/>
    <col min="9470" max="9470" width="24" customWidth="1"/>
    <col min="9471" max="9471" width="22.28515625" customWidth="1"/>
    <col min="9473" max="9473" width="10.140625" bestFit="1" customWidth="1"/>
    <col min="9474" max="9474" width="12.7109375" bestFit="1" customWidth="1"/>
    <col min="9475" max="9475" width="12.140625" bestFit="1" customWidth="1"/>
    <col min="9476" max="9476" width="24.42578125" bestFit="1" customWidth="1"/>
    <col min="9721" max="9721" width="30.42578125" bestFit="1" customWidth="1"/>
    <col min="9722" max="9722" width="12.140625" customWidth="1"/>
    <col min="9723" max="9723" width="29.140625" bestFit="1" customWidth="1"/>
    <col min="9724" max="9724" width="12.5703125" customWidth="1"/>
    <col min="9726" max="9726" width="24" customWidth="1"/>
    <col min="9727" max="9727" width="22.28515625" customWidth="1"/>
    <col min="9729" max="9729" width="10.140625" bestFit="1" customWidth="1"/>
    <col min="9730" max="9730" width="12.7109375" bestFit="1" customWidth="1"/>
    <col min="9731" max="9731" width="12.140625" bestFit="1" customWidth="1"/>
    <col min="9732" max="9732" width="24.42578125" bestFit="1" customWidth="1"/>
    <col min="9977" max="9977" width="30.42578125" bestFit="1" customWidth="1"/>
    <col min="9978" max="9978" width="12.140625" customWidth="1"/>
    <col min="9979" max="9979" width="29.140625" bestFit="1" customWidth="1"/>
    <col min="9980" max="9980" width="12.5703125" customWidth="1"/>
    <col min="9982" max="9982" width="24" customWidth="1"/>
    <col min="9983" max="9983" width="22.28515625" customWidth="1"/>
    <col min="9985" max="9985" width="10.140625" bestFit="1" customWidth="1"/>
    <col min="9986" max="9986" width="12.7109375" bestFit="1" customWidth="1"/>
    <col min="9987" max="9987" width="12.140625" bestFit="1" customWidth="1"/>
    <col min="9988" max="9988" width="24.42578125" bestFit="1" customWidth="1"/>
    <col min="10233" max="10233" width="30.42578125" bestFit="1" customWidth="1"/>
    <col min="10234" max="10234" width="12.140625" customWidth="1"/>
    <col min="10235" max="10235" width="29.140625" bestFit="1" customWidth="1"/>
    <col min="10236" max="10236" width="12.5703125" customWidth="1"/>
    <col min="10238" max="10238" width="24" customWidth="1"/>
    <col min="10239" max="10239" width="22.28515625" customWidth="1"/>
    <col min="10241" max="10241" width="10.140625" bestFit="1" customWidth="1"/>
    <col min="10242" max="10242" width="12.7109375" bestFit="1" customWidth="1"/>
    <col min="10243" max="10243" width="12.140625" bestFit="1" customWidth="1"/>
    <col min="10244" max="10244" width="24.42578125" bestFit="1" customWidth="1"/>
    <col min="10489" max="10489" width="30.42578125" bestFit="1" customWidth="1"/>
    <col min="10490" max="10490" width="12.140625" customWidth="1"/>
    <col min="10491" max="10491" width="29.140625" bestFit="1" customWidth="1"/>
    <col min="10492" max="10492" width="12.5703125" customWidth="1"/>
    <col min="10494" max="10494" width="24" customWidth="1"/>
    <col min="10495" max="10495" width="22.28515625" customWidth="1"/>
    <col min="10497" max="10497" width="10.140625" bestFit="1" customWidth="1"/>
    <col min="10498" max="10498" width="12.7109375" bestFit="1" customWidth="1"/>
    <col min="10499" max="10499" width="12.140625" bestFit="1" customWidth="1"/>
    <col min="10500" max="10500" width="24.42578125" bestFit="1" customWidth="1"/>
    <col min="10745" max="10745" width="30.42578125" bestFit="1" customWidth="1"/>
    <col min="10746" max="10746" width="12.140625" customWidth="1"/>
    <col min="10747" max="10747" width="29.140625" bestFit="1" customWidth="1"/>
    <col min="10748" max="10748" width="12.5703125" customWidth="1"/>
    <col min="10750" max="10750" width="24" customWidth="1"/>
    <col min="10751" max="10751" width="22.28515625" customWidth="1"/>
    <col min="10753" max="10753" width="10.140625" bestFit="1" customWidth="1"/>
    <col min="10754" max="10754" width="12.7109375" bestFit="1" customWidth="1"/>
    <col min="10755" max="10755" width="12.140625" bestFit="1" customWidth="1"/>
    <col min="10756" max="10756" width="24.42578125" bestFit="1" customWidth="1"/>
    <col min="11001" max="11001" width="30.42578125" bestFit="1" customWidth="1"/>
    <col min="11002" max="11002" width="12.140625" customWidth="1"/>
    <col min="11003" max="11003" width="29.140625" bestFit="1" customWidth="1"/>
    <col min="11004" max="11004" width="12.5703125" customWidth="1"/>
    <col min="11006" max="11006" width="24" customWidth="1"/>
    <col min="11007" max="11007" width="22.28515625" customWidth="1"/>
    <col min="11009" max="11009" width="10.140625" bestFit="1" customWidth="1"/>
    <col min="11010" max="11010" width="12.7109375" bestFit="1" customWidth="1"/>
    <col min="11011" max="11011" width="12.140625" bestFit="1" customWidth="1"/>
    <col min="11012" max="11012" width="24.42578125" bestFit="1" customWidth="1"/>
    <col min="11257" max="11257" width="30.42578125" bestFit="1" customWidth="1"/>
    <col min="11258" max="11258" width="12.140625" customWidth="1"/>
    <col min="11259" max="11259" width="29.140625" bestFit="1" customWidth="1"/>
    <col min="11260" max="11260" width="12.5703125" customWidth="1"/>
    <col min="11262" max="11262" width="24" customWidth="1"/>
    <col min="11263" max="11263" width="22.28515625" customWidth="1"/>
    <col min="11265" max="11265" width="10.140625" bestFit="1" customWidth="1"/>
    <col min="11266" max="11266" width="12.7109375" bestFit="1" customWidth="1"/>
    <col min="11267" max="11267" width="12.140625" bestFit="1" customWidth="1"/>
    <col min="11268" max="11268" width="24.42578125" bestFit="1" customWidth="1"/>
    <col min="11513" max="11513" width="30.42578125" bestFit="1" customWidth="1"/>
    <col min="11514" max="11514" width="12.140625" customWidth="1"/>
    <col min="11515" max="11515" width="29.140625" bestFit="1" customWidth="1"/>
    <col min="11516" max="11516" width="12.5703125" customWidth="1"/>
    <col min="11518" max="11518" width="24" customWidth="1"/>
    <col min="11519" max="11519" width="22.28515625" customWidth="1"/>
    <col min="11521" max="11521" width="10.140625" bestFit="1" customWidth="1"/>
    <col min="11522" max="11522" width="12.7109375" bestFit="1" customWidth="1"/>
    <col min="11523" max="11523" width="12.140625" bestFit="1" customWidth="1"/>
    <col min="11524" max="11524" width="24.42578125" bestFit="1" customWidth="1"/>
    <col min="11769" max="11769" width="30.42578125" bestFit="1" customWidth="1"/>
    <col min="11770" max="11770" width="12.140625" customWidth="1"/>
    <col min="11771" max="11771" width="29.140625" bestFit="1" customWidth="1"/>
    <col min="11772" max="11772" width="12.5703125" customWidth="1"/>
    <col min="11774" max="11774" width="24" customWidth="1"/>
    <col min="11775" max="11775" width="22.28515625" customWidth="1"/>
    <col min="11777" max="11777" width="10.140625" bestFit="1" customWidth="1"/>
    <col min="11778" max="11778" width="12.7109375" bestFit="1" customWidth="1"/>
    <col min="11779" max="11779" width="12.140625" bestFit="1" customWidth="1"/>
    <col min="11780" max="11780" width="24.42578125" bestFit="1" customWidth="1"/>
    <col min="12025" max="12025" width="30.42578125" bestFit="1" customWidth="1"/>
    <col min="12026" max="12026" width="12.140625" customWidth="1"/>
    <col min="12027" max="12027" width="29.140625" bestFit="1" customWidth="1"/>
    <col min="12028" max="12028" width="12.5703125" customWidth="1"/>
    <col min="12030" max="12030" width="24" customWidth="1"/>
    <col min="12031" max="12031" width="22.28515625" customWidth="1"/>
    <col min="12033" max="12033" width="10.140625" bestFit="1" customWidth="1"/>
    <col min="12034" max="12034" width="12.7109375" bestFit="1" customWidth="1"/>
    <col min="12035" max="12035" width="12.140625" bestFit="1" customWidth="1"/>
    <col min="12036" max="12036" width="24.42578125" bestFit="1" customWidth="1"/>
    <col min="12281" max="12281" width="30.42578125" bestFit="1" customWidth="1"/>
    <col min="12282" max="12282" width="12.140625" customWidth="1"/>
    <col min="12283" max="12283" width="29.140625" bestFit="1" customWidth="1"/>
    <col min="12284" max="12284" width="12.5703125" customWidth="1"/>
    <col min="12286" max="12286" width="24" customWidth="1"/>
    <col min="12287" max="12287" width="22.28515625" customWidth="1"/>
    <col min="12289" max="12289" width="10.140625" bestFit="1" customWidth="1"/>
    <col min="12290" max="12290" width="12.7109375" bestFit="1" customWidth="1"/>
    <col min="12291" max="12291" width="12.140625" bestFit="1" customWidth="1"/>
    <col min="12292" max="12292" width="24.42578125" bestFit="1" customWidth="1"/>
    <col min="12537" max="12537" width="30.42578125" bestFit="1" customWidth="1"/>
    <col min="12538" max="12538" width="12.140625" customWidth="1"/>
    <col min="12539" max="12539" width="29.140625" bestFit="1" customWidth="1"/>
    <col min="12540" max="12540" width="12.5703125" customWidth="1"/>
    <col min="12542" max="12542" width="24" customWidth="1"/>
    <col min="12543" max="12543" width="22.28515625" customWidth="1"/>
    <col min="12545" max="12545" width="10.140625" bestFit="1" customWidth="1"/>
    <col min="12546" max="12546" width="12.7109375" bestFit="1" customWidth="1"/>
    <col min="12547" max="12547" width="12.140625" bestFit="1" customWidth="1"/>
    <col min="12548" max="12548" width="24.42578125" bestFit="1" customWidth="1"/>
    <col min="12793" max="12793" width="30.42578125" bestFit="1" customWidth="1"/>
    <col min="12794" max="12794" width="12.140625" customWidth="1"/>
    <col min="12795" max="12795" width="29.140625" bestFit="1" customWidth="1"/>
    <col min="12796" max="12796" width="12.5703125" customWidth="1"/>
    <col min="12798" max="12798" width="24" customWidth="1"/>
    <col min="12799" max="12799" width="22.28515625" customWidth="1"/>
    <col min="12801" max="12801" width="10.140625" bestFit="1" customWidth="1"/>
    <col min="12802" max="12802" width="12.7109375" bestFit="1" customWidth="1"/>
    <col min="12803" max="12803" width="12.140625" bestFit="1" customWidth="1"/>
    <col min="12804" max="12804" width="24.42578125" bestFit="1" customWidth="1"/>
    <col min="13049" max="13049" width="30.42578125" bestFit="1" customWidth="1"/>
    <col min="13050" max="13050" width="12.140625" customWidth="1"/>
    <col min="13051" max="13051" width="29.140625" bestFit="1" customWidth="1"/>
    <col min="13052" max="13052" width="12.5703125" customWidth="1"/>
    <col min="13054" max="13054" width="24" customWidth="1"/>
    <col min="13055" max="13055" width="22.28515625" customWidth="1"/>
    <col min="13057" max="13057" width="10.140625" bestFit="1" customWidth="1"/>
    <col min="13058" max="13058" width="12.7109375" bestFit="1" customWidth="1"/>
    <col min="13059" max="13059" width="12.140625" bestFit="1" customWidth="1"/>
    <col min="13060" max="13060" width="24.42578125" bestFit="1" customWidth="1"/>
    <col min="13305" max="13305" width="30.42578125" bestFit="1" customWidth="1"/>
    <col min="13306" max="13306" width="12.140625" customWidth="1"/>
    <col min="13307" max="13307" width="29.140625" bestFit="1" customWidth="1"/>
    <col min="13308" max="13308" width="12.5703125" customWidth="1"/>
    <col min="13310" max="13310" width="24" customWidth="1"/>
    <col min="13311" max="13311" width="22.28515625" customWidth="1"/>
    <col min="13313" max="13313" width="10.140625" bestFit="1" customWidth="1"/>
    <col min="13314" max="13314" width="12.7109375" bestFit="1" customWidth="1"/>
    <col min="13315" max="13315" width="12.140625" bestFit="1" customWidth="1"/>
    <col min="13316" max="13316" width="24.42578125" bestFit="1" customWidth="1"/>
    <col min="13561" max="13561" width="30.42578125" bestFit="1" customWidth="1"/>
    <col min="13562" max="13562" width="12.140625" customWidth="1"/>
    <col min="13563" max="13563" width="29.140625" bestFit="1" customWidth="1"/>
    <col min="13564" max="13564" width="12.5703125" customWidth="1"/>
    <col min="13566" max="13566" width="24" customWidth="1"/>
    <col min="13567" max="13567" width="22.28515625" customWidth="1"/>
    <col min="13569" max="13569" width="10.140625" bestFit="1" customWidth="1"/>
    <col min="13570" max="13570" width="12.7109375" bestFit="1" customWidth="1"/>
    <col min="13571" max="13571" width="12.140625" bestFit="1" customWidth="1"/>
    <col min="13572" max="13572" width="24.42578125" bestFit="1" customWidth="1"/>
    <col min="13817" max="13817" width="30.42578125" bestFit="1" customWidth="1"/>
    <col min="13818" max="13818" width="12.140625" customWidth="1"/>
    <col min="13819" max="13819" width="29.140625" bestFit="1" customWidth="1"/>
    <col min="13820" max="13820" width="12.5703125" customWidth="1"/>
    <col min="13822" max="13822" width="24" customWidth="1"/>
    <col min="13823" max="13823" width="22.28515625" customWidth="1"/>
    <col min="13825" max="13825" width="10.140625" bestFit="1" customWidth="1"/>
    <col min="13826" max="13826" width="12.7109375" bestFit="1" customWidth="1"/>
    <col min="13827" max="13827" width="12.140625" bestFit="1" customWidth="1"/>
    <col min="13828" max="13828" width="24.42578125" bestFit="1" customWidth="1"/>
    <col min="14073" max="14073" width="30.42578125" bestFit="1" customWidth="1"/>
    <col min="14074" max="14074" width="12.140625" customWidth="1"/>
    <col min="14075" max="14075" width="29.140625" bestFit="1" customWidth="1"/>
    <col min="14076" max="14076" width="12.5703125" customWidth="1"/>
    <col min="14078" max="14078" width="24" customWidth="1"/>
    <col min="14079" max="14079" width="22.28515625" customWidth="1"/>
    <col min="14081" max="14081" width="10.140625" bestFit="1" customWidth="1"/>
    <col min="14082" max="14082" width="12.7109375" bestFit="1" customWidth="1"/>
    <col min="14083" max="14083" width="12.140625" bestFit="1" customWidth="1"/>
    <col min="14084" max="14084" width="24.42578125" bestFit="1" customWidth="1"/>
    <col min="14329" max="14329" width="30.42578125" bestFit="1" customWidth="1"/>
    <col min="14330" max="14330" width="12.140625" customWidth="1"/>
    <col min="14331" max="14331" width="29.140625" bestFit="1" customWidth="1"/>
    <col min="14332" max="14332" width="12.5703125" customWidth="1"/>
    <col min="14334" max="14334" width="24" customWidth="1"/>
    <col min="14335" max="14335" width="22.28515625" customWidth="1"/>
    <col min="14337" max="14337" width="10.140625" bestFit="1" customWidth="1"/>
    <col min="14338" max="14338" width="12.7109375" bestFit="1" customWidth="1"/>
    <col min="14339" max="14339" width="12.140625" bestFit="1" customWidth="1"/>
    <col min="14340" max="14340" width="24.42578125" bestFit="1" customWidth="1"/>
    <col min="14585" max="14585" width="30.42578125" bestFit="1" customWidth="1"/>
    <col min="14586" max="14586" width="12.140625" customWidth="1"/>
    <col min="14587" max="14587" width="29.140625" bestFit="1" customWidth="1"/>
    <col min="14588" max="14588" width="12.5703125" customWidth="1"/>
    <col min="14590" max="14590" width="24" customWidth="1"/>
    <col min="14591" max="14591" width="22.28515625" customWidth="1"/>
    <col min="14593" max="14593" width="10.140625" bestFit="1" customWidth="1"/>
    <col min="14594" max="14594" width="12.7109375" bestFit="1" customWidth="1"/>
    <col min="14595" max="14595" width="12.140625" bestFit="1" customWidth="1"/>
    <col min="14596" max="14596" width="24.42578125" bestFit="1" customWidth="1"/>
    <col min="14841" max="14841" width="30.42578125" bestFit="1" customWidth="1"/>
    <col min="14842" max="14842" width="12.140625" customWidth="1"/>
    <col min="14843" max="14843" width="29.140625" bestFit="1" customWidth="1"/>
    <col min="14844" max="14844" width="12.5703125" customWidth="1"/>
    <col min="14846" max="14846" width="24" customWidth="1"/>
    <col min="14847" max="14847" width="22.28515625" customWidth="1"/>
    <col min="14849" max="14849" width="10.140625" bestFit="1" customWidth="1"/>
    <col min="14850" max="14850" width="12.7109375" bestFit="1" customWidth="1"/>
    <col min="14851" max="14851" width="12.140625" bestFit="1" customWidth="1"/>
    <col min="14852" max="14852" width="24.42578125" bestFit="1" customWidth="1"/>
    <col min="15097" max="15097" width="30.42578125" bestFit="1" customWidth="1"/>
    <col min="15098" max="15098" width="12.140625" customWidth="1"/>
    <col min="15099" max="15099" width="29.140625" bestFit="1" customWidth="1"/>
    <col min="15100" max="15100" width="12.5703125" customWidth="1"/>
    <col min="15102" max="15102" width="24" customWidth="1"/>
    <col min="15103" max="15103" width="22.28515625" customWidth="1"/>
    <col min="15105" max="15105" width="10.140625" bestFit="1" customWidth="1"/>
    <col min="15106" max="15106" width="12.7109375" bestFit="1" customWidth="1"/>
    <col min="15107" max="15107" width="12.140625" bestFit="1" customWidth="1"/>
    <col min="15108" max="15108" width="24.42578125" bestFit="1" customWidth="1"/>
    <col min="15353" max="15353" width="30.42578125" bestFit="1" customWidth="1"/>
    <col min="15354" max="15354" width="12.140625" customWidth="1"/>
    <col min="15355" max="15355" width="29.140625" bestFit="1" customWidth="1"/>
    <col min="15356" max="15356" width="12.5703125" customWidth="1"/>
    <col min="15358" max="15358" width="24" customWidth="1"/>
    <col min="15359" max="15359" width="22.28515625" customWidth="1"/>
    <col min="15361" max="15361" width="10.140625" bestFit="1" customWidth="1"/>
    <col min="15362" max="15362" width="12.7109375" bestFit="1" customWidth="1"/>
    <col min="15363" max="15363" width="12.140625" bestFit="1" customWidth="1"/>
    <col min="15364" max="15364" width="24.42578125" bestFit="1" customWidth="1"/>
    <col min="15609" max="15609" width="30.42578125" bestFit="1" customWidth="1"/>
    <col min="15610" max="15610" width="12.140625" customWidth="1"/>
    <col min="15611" max="15611" width="29.140625" bestFit="1" customWidth="1"/>
    <col min="15612" max="15612" width="12.5703125" customWidth="1"/>
    <col min="15614" max="15614" width="24" customWidth="1"/>
    <col min="15615" max="15615" width="22.28515625" customWidth="1"/>
    <col min="15617" max="15617" width="10.140625" bestFit="1" customWidth="1"/>
    <col min="15618" max="15618" width="12.7109375" bestFit="1" customWidth="1"/>
    <col min="15619" max="15619" width="12.140625" bestFit="1" customWidth="1"/>
    <col min="15620" max="15620" width="24.42578125" bestFit="1" customWidth="1"/>
    <col min="15865" max="15865" width="30.42578125" bestFit="1" customWidth="1"/>
    <col min="15866" max="15866" width="12.140625" customWidth="1"/>
    <col min="15867" max="15867" width="29.140625" bestFit="1" customWidth="1"/>
    <col min="15868" max="15868" width="12.5703125" customWidth="1"/>
    <col min="15870" max="15870" width="24" customWidth="1"/>
    <col min="15871" max="15871" width="22.28515625" customWidth="1"/>
    <col min="15873" max="15873" width="10.140625" bestFit="1" customWidth="1"/>
    <col min="15874" max="15874" width="12.7109375" bestFit="1" customWidth="1"/>
    <col min="15875" max="15875" width="12.140625" bestFit="1" customWidth="1"/>
    <col min="15876" max="15876" width="24.42578125" bestFit="1" customWidth="1"/>
    <col min="16121" max="16121" width="30.42578125" bestFit="1" customWidth="1"/>
    <col min="16122" max="16122" width="12.140625" customWidth="1"/>
    <col min="16123" max="16123" width="29.140625" bestFit="1" customWidth="1"/>
    <col min="16124" max="16124" width="12.5703125" customWidth="1"/>
    <col min="16126" max="16126" width="24" customWidth="1"/>
    <col min="16127" max="16127" width="22.28515625" customWidth="1"/>
    <col min="16129" max="16129" width="10.140625" bestFit="1" customWidth="1"/>
    <col min="16130" max="16130" width="12.7109375" bestFit="1" customWidth="1"/>
    <col min="16131" max="16131" width="12.140625" bestFit="1" customWidth="1"/>
    <col min="16132" max="16132" width="24.42578125" bestFit="1" customWidth="1"/>
  </cols>
  <sheetData>
    <row r="1" spans="1:26" ht="15.75" customHeight="1" thickBot="1" x14ac:dyDescent="0.3">
      <c r="B1" s="123">
        <v>42248</v>
      </c>
      <c r="C1" s="123"/>
      <c r="D1" s="7"/>
      <c r="E1" s="124" t="s">
        <v>8</v>
      </c>
      <c r="F1" s="125"/>
      <c r="G1" s="125"/>
      <c r="H1" s="126"/>
      <c r="I1" s="127"/>
      <c r="J1" s="3">
        <v>30</v>
      </c>
      <c r="K1" s="3">
        <v>30</v>
      </c>
      <c r="L1" s="3">
        <v>30</v>
      </c>
      <c r="M1" s="3">
        <v>35</v>
      </c>
      <c r="N1" s="3">
        <v>30</v>
      </c>
      <c r="O1" s="3">
        <v>25</v>
      </c>
      <c r="P1" s="3">
        <v>25</v>
      </c>
      <c r="Q1" s="3">
        <v>30</v>
      </c>
      <c r="R1" s="3">
        <v>35</v>
      </c>
      <c r="S1" s="3">
        <v>35</v>
      </c>
      <c r="T1" s="3">
        <v>30</v>
      </c>
      <c r="U1" s="3">
        <v>35</v>
      </c>
      <c r="V1" s="3">
        <v>35</v>
      </c>
      <c r="W1" s="3">
        <v>30</v>
      </c>
      <c r="X1" s="3">
        <v>30</v>
      </c>
      <c r="Y1" s="129" t="s">
        <v>25</v>
      </c>
      <c r="Z1" s="25">
        <f ca="1">TODAY()</f>
        <v>45273</v>
      </c>
    </row>
    <row r="2" spans="1:26" ht="30" customHeight="1" x14ac:dyDescent="0.25">
      <c r="B2" s="131" t="s">
        <v>1</v>
      </c>
      <c r="C2" s="132"/>
      <c r="E2" s="35" t="s">
        <v>12</v>
      </c>
      <c r="F2" s="36" t="s">
        <v>9</v>
      </c>
      <c r="G2" s="36" t="s">
        <v>10</v>
      </c>
      <c r="H2" s="4" t="s">
        <v>11</v>
      </c>
      <c r="I2" s="128"/>
      <c r="J2" s="23" t="s">
        <v>22</v>
      </c>
      <c r="K2" s="23" t="s">
        <v>5</v>
      </c>
      <c r="L2" s="23" t="s">
        <v>13</v>
      </c>
      <c r="M2" s="23" t="s">
        <v>14</v>
      </c>
      <c r="N2" s="23" t="s">
        <v>15</v>
      </c>
      <c r="O2" s="23" t="s">
        <v>56</v>
      </c>
      <c r="P2" s="23" t="s">
        <v>55</v>
      </c>
      <c r="Q2" s="23" t="s">
        <v>23</v>
      </c>
      <c r="R2" s="23" t="s">
        <v>57</v>
      </c>
      <c r="S2" s="23" t="s">
        <v>26</v>
      </c>
      <c r="T2" s="23" t="s">
        <v>19</v>
      </c>
      <c r="U2" s="23" t="s">
        <v>20</v>
      </c>
      <c r="V2" s="23" t="s">
        <v>21</v>
      </c>
      <c r="W2" s="23" t="s">
        <v>36</v>
      </c>
      <c r="X2" s="23" t="s">
        <v>41</v>
      </c>
      <c r="Y2" s="130"/>
    </row>
    <row r="3" spans="1:26" ht="15.75" thickBot="1" x14ac:dyDescent="0.3">
      <c r="B3" s="49" t="s">
        <v>0</v>
      </c>
      <c r="C3" s="50" t="s">
        <v>2</v>
      </c>
      <c r="E3" s="32">
        <f>B1</f>
        <v>42248</v>
      </c>
      <c r="F3" s="71"/>
      <c r="G3" s="71"/>
      <c r="H3" s="72"/>
      <c r="I3" s="31">
        <f>E3</f>
        <v>42248</v>
      </c>
      <c r="J3" s="37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9"/>
      <c r="Y3" s="61">
        <f>SUM(J3:X3)</f>
        <v>0</v>
      </c>
    </row>
    <row r="4" spans="1:26" ht="15.75" thickBot="1" x14ac:dyDescent="0.3">
      <c r="B4" s="14" t="s">
        <v>3</v>
      </c>
      <c r="C4" s="15">
        <f>F34</f>
        <v>54088</v>
      </c>
      <c r="E4" s="32">
        <f>E3+1</f>
        <v>42249</v>
      </c>
      <c r="F4" s="71"/>
      <c r="G4" s="71"/>
      <c r="H4" s="72"/>
      <c r="I4" s="31">
        <f t="shared" ref="I4:I33" si="0">E4</f>
        <v>42249</v>
      </c>
      <c r="J4" s="40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2"/>
      <c r="Y4" s="62">
        <f>SUM(J4:X4)</f>
        <v>0</v>
      </c>
    </row>
    <row r="5" spans="1:26" ht="15" customHeight="1" thickBot="1" x14ac:dyDescent="0.3">
      <c r="A5" s="51"/>
      <c r="E5" s="32">
        <f t="shared" ref="E5:E33" si="1">E4+1</f>
        <v>42250</v>
      </c>
      <c r="F5" s="71"/>
      <c r="G5" s="71"/>
      <c r="H5" s="72"/>
      <c r="I5" s="31">
        <f t="shared" si="0"/>
        <v>42250</v>
      </c>
      <c r="J5" s="40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2"/>
      <c r="Y5" s="62">
        <f t="shared" ref="Y5:Y33" si="2">SUM(J5:X5)</f>
        <v>0</v>
      </c>
    </row>
    <row r="6" spans="1:26" ht="15" customHeight="1" x14ac:dyDescent="0.25">
      <c r="A6" s="139" t="s">
        <v>42</v>
      </c>
      <c r="B6" s="76" t="s">
        <v>7</v>
      </c>
      <c r="C6" s="11">
        <v>4000</v>
      </c>
      <c r="E6" s="32">
        <f t="shared" si="1"/>
        <v>42251</v>
      </c>
      <c r="F6" s="71"/>
      <c r="G6" s="71"/>
      <c r="H6" s="72"/>
      <c r="I6" s="31">
        <f t="shared" si="0"/>
        <v>42251</v>
      </c>
      <c r="J6" s="40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2"/>
      <c r="Y6" s="62">
        <f t="shared" si="2"/>
        <v>0</v>
      </c>
    </row>
    <row r="7" spans="1:26" x14ac:dyDescent="0.25">
      <c r="A7" s="140"/>
      <c r="B7" s="77" t="s">
        <v>43</v>
      </c>
      <c r="C7" s="12">
        <v>40</v>
      </c>
      <c r="E7" s="32">
        <f t="shared" si="1"/>
        <v>42252</v>
      </c>
      <c r="F7" s="71">
        <v>1300</v>
      </c>
      <c r="G7" s="71"/>
      <c r="H7" s="72" t="s">
        <v>83</v>
      </c>
      <c r="I7" s="31">
        <f t="shared" si="0"/>
        <v>42252</v>
      </c>
      <c r="J7" s="40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2"/>
      <c r="Y7" s="62">
        <f t="shared" si="2"/>
        <v>0</v>
      </c>
    </row>
    <row r="8" spans="1:26" x14ac:dyDescent="0.25">
      <c r="A8" s="140"/>
      <c r="B8" s="77" t="s">
        <v>4</v>
      </c>
      <c r="C8" s="13">
        <f>(INDEX('[1]Кредит Сатурн'!$C:$C,MATCH(B1,'[1]Кредит Сатурн'!$A:$A,0)))</f>
        <v>2064</v>
      </c>
      <c r="E8" s="32">
        <f t="shared" si="1"/>
        <v>42253</v>
      </c>
      <c r="F8" s="71">
        <v>9720</v>
      </c>
      <c r="G8" s="71"/>
      <c r="H8" s="72" t="s">
        <v>3</v>
      </c>
      <c r="I8" s="31">
        <f t="shared" si="0"/>
        <v>42253</v>
      </c>
      <c r="J8" s="40">
        <v>3</v>
      </c>
      <c r="K8" s="41">
        <v>4</v>
      </c>
      <c r="L8" s="41">
        <v>0</v>
      </c>
      <c r="M8" s="41">
        <v>31</v>
      </c>
      <c r="N8" s="41">
        <v>8</v>
      </c>
      <c r="O8" s="41">
        <v>22</v>
      </c>
      <c r="P8" s="41">
        <v>14</v>
      </c>
      <c r="Q8" s="41">
        <v>30</v>
      </c>
      <c r="R8" s="41">
        <v>16</v>
      </c>
      <c r="S8" s="41">
        <v>54</v>
      </c>
      <c r="T8" s="41">
        <v>31</v>
      </c>
      <c r="U8" s="41">
        <v>27</v>
      </c>
      <c r="V8" s="41">
        <v>32</v>
      </c>
      <c r="W8" s="41">
        <v>25</v>
      </c>
      <c r="X8" s="42">
        <v>23</v>
      </c>
      <c r="Y8" s="62">
        <f t="shared" si="2"/>
        <v>320</v>
      </c>
    </row>
    <row r="9" spans="1:26" x14ac:dyDescent="0.25">
      <c r="A9" s="140"/>
      <c r="B9" s="77" t="s">
        <v>27</v>
      </c>
      <c r="C9" s="12">
        <f>'[2]Расход ингредиентов'!$D$208+3000</f>
        <v>12600</v>
      </c>
      <c r="E9" s="32">
        <f t="shared" si="1"/>
        <v>42254</v>
      </c>
      <c r="F9" s="71"/>
      <c r="G9" s="71"/>
      <c r="H9" s="72"/>
      <c r="I9" s="31">
        <f t="shared" si="0"/>
        <v>42254</v>
      </c>
      <c r="J9" s="40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2"/>
      <c r="Y9" s="62">
        <f t="shared" si="2"/>
        <v>0</v>
      </c>
    </row>
    <row r="10" spans="1:26" x14ac:dyDescent="0.25">
      <c r="A10" s="140"/>
      <c r="B10" s="77" t="s">
        <v>44</v>
      </c>
      <c r="C10" s="12">
        <f>'[2]Расход ингредиентов'!$D$205</f>
        <v>1189.7435897435898</v>
      </c>
      <c r="E10" s="32">
        <f t="shared" si="1"/>
        <v>42255</v>
      </c>
      <c r="F10" s="71"/>
      <c r="G10" s="71"/>
      <c r="H10" s="72"/>
      <c r="I10" s="31">
        <f t="shared" si="0"/>
        <v>42255</v>
      </c>
      <c r="J10" s="40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2"/>
      <c r="Y10" s="62">
        <f t="shared" si="2"/>
        <v>0</v>
      </c>
    </row>
    <row r="11" spans="1:26" x14ac:dyDescent="0.25">
      <c r="A11" s="140"/>
      <c r="B11" s="77" t="s">
        <v>38</v>
      </c>
      <c r="C11" s="12">
        <f>'[2]Расход ингредиентов'!$D$204</f>
        <v>1890</v>
      </c>
      <c r="E11" s="32">
        <f t="shared" si="1"/>
        <v>42256</v>
      </c>
      <c r="F11" s="71"/>
      <c r="G11" s="71"/>
      <c r="H11" s="72"/>
      <c r="I11" s="31">
        <f t="shared" si="0"/>
        <v>42256</v>
      </c>
      <c r="J11" s="40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2"/>
      <c r="Y11" s="62">
        <f t="shared" si="2"/>
        <v>0</v>
      </c>
    </row>
    <row r="12" spans="1:26" x14ac:dyDescent="0.25">
      <c r="A12" s="140"/>
      <c r="B12" s="77" t="s">
        <v>39</v>
      </c>
      <c r="C12" s="12">
        <v>0</v>
      </c>
      <c r="E12" s="32">
        <f t="shared" si="1"/>
        <v>42257</v>
      </c>
      <c r="F12" s="71"/>
      <c r="G12" s="71"/>
      <c r="H12" s="72"/>
      <c r="I12" s="31">
        <f t="shared" si="0"/>
        <v>42257</v>
      </c>
      <c r="J12" s="40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2"/>
      <c r="Y12" s="62">
        <f t="shared" si="2"/>
        <v>0</v>
      </c>
    </row>
    <row r="13" spans="1:26" x14ac:dyDescent="0.25">
      <c r="A13" s="140"/>
      <c r="B13" s="77" t="s">
        <v>31</v>
      </c>
      <c r="C13" s="18">
        <v>3300</v>
      </c>
      <c r="E13" s="32">
        <f t="shared" si="1"/>
        <v>42258</v>
      </c>
      <c r="F13" s="71"/>
      <c r="G13" s="71"/>
      <c r="H13" s="72"/>
      <c r="I13" s="31">
        <f t="shared" si="0"/>
        <v>42258</v>
      </c>
      <c r="J13" s="40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2"/>
      <c r="Y13" s="62">
        <f t="shared" si="2"/>
        <v>0</v>
      </c>
    </row>
    <row r="14" spans="1:26" x14ac:dyDescent="0.25">
      <c r="A14" s="140"/>
      <c r="B14" s="77" t="s">
        <v>46</v>
      </c>
      <c r="C14" s="18">
        <v>1430</v>
      </c>
      <c r="E14" s="32">
        <f t="shared" si="1"/>
        <v>42259</v>
      </c>
      <c r="F14" s="71">
        <f>10630</f>
        <v>10630</v>
      </c>
      <c r="G14" s="71">
        <v>500</v>
      </c>
      <c r="H14" s="72" t="s">
        <v>114</v>
      </c>
      <c r="I14" s="31">
        <f t="shared" si="0"/>
        <v>42259</v>
      </c>
      <c r="J14" s="40">
        <v>12</v>
      </c>
      <c r="K14" s="41">
        <v>23</v>
      </c>
      <c r="L14" s="41">
        <v>4</v>
      </c>
      <c r="M14" s="41">
        <v>84</v>
      </c>
      <c r="N14" s="41">
        <v>36</v>
      </c>
      <c r="O14" s="41">
        <v>17</v>
      </c>
      <c r="P14" s="41">
        <v>5</v>
      </c>
      <c r="Q14" s="41">
        <v>31</v>
      </c>
      <c r="R14" s="41">
        <v>16</v>
      </c>
      <c r="S14" s="41">
        <v>7</v>
      </c>
      <c r="T14" s="41">
        <v>18</v>
      </c>
      <c r="U14" s="41">
        <v>16</v>
      </c>
      <c r="V14" s="41">
        <v>23</v>
      </c>
      <c r="W14" s="41">
        <v>72</v>
      </c>
      <c r="X14" s="42">
        <v>22</v>
      </c>
      <c r="Y14" s="62">
        <f t="shared" si="2"/>
        <v>386</v>
      </c>
    </row>
    <row r="15" spans="1:26" x14ac:dyDescent="0.25">
      <c r="A15" s="140"/>
      <c r="B15" s="77" t="s">
        <v>45</v>
      </c>
      <c r="C15" s="12">
        <f>G20</f>
        <v>300</v>
      </c>
      <c r="E15" s="32">
        <f t="shared" si="1"/>
        <v>42260</v>
      </c>
      <c r="F15" s="71"/>
      <c r="G15" s="71"/>
      <c r="H15" s="72"/>
      <c r="I15" s="31">
        <f t="shared" si="0"/>
        <v>42260</v>
      </c>
      <c r="J15" s="40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62">
        <f t="shared" si="2"/>
        <v>0</v>
      </c>
    </row>
    <row r="16" spans="1:26" ht="15.75" thickBot="1" x14ac:dyDescent="0.3">
      <c r="A16" s="141"/>
      <c r="B16" s="78" t="s">
        <v>47</v>
      </c>
      <c r="C16" s="53">
        <f>SUM(C6:C15)</f>
        <v>26813.74358974359</v>
      </c>
      <c r="E16" s="32">
        <f t="shared" si="1"/>
        <v>42261</v>
      </c>
      <c r="F16" s="71"/>
      <c r="G16" s="71"/>
      <c r="H16" s="72"/>
      <c r="I16" s="31">
        <f t="shared" si="0"/>
        <v>42261</v>
      </c>
      <c r="J16" s="40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2"/>
      <c r="Y16" s="62">
        <f t="shared" si="2"/>
        <v>0</v>
      </c>
    </row>
    <row r="17" spans="1:25" ht="15.75" thickBot="1" x14ac:dyDescent="0.3">
      <c r="E17" s="32">
        <f t="shared" si="1"/>
        <v>42262</v>
      </c>
      <c r="F17" s="71"/>
      <c r="G17" s="71"/>
      <c r="H17" s="72"/>
      <c r="I17" s="31">
        <f t="shared" si="0"/>
        <v>42262</v>
      </c>
      <c r="J17" s="40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2"/>
      <c r="Y17" s="62">
        <f t="shared" si="2"/>
        <v>0</v>
      </c>
    </row>
    <row r="18" spans="1:25" ht="15.75" thickBot="1" x14ac:dyDescent="0.3">
      <c r="B18" s="16" t="s">
        <v>32</v>
      </c>
      <c r="C18" s="17">
        <f>C4-C16</f>
        <v>27274.25641025641</v>
      </c>
      <c r="E18" s="32">
        <f t="shared" si="1"/>
        <v>42263</v>
      </c>
      <c r="F18" s="71"/>
      <c r="G18" s="71"/>
      <c r="H18" s="72"/>
      <c r="I18" s="31">
        <f t="shared" si="0"/>
        <v>42263</v>
      </c>
      <c r="J18" s="40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2"/>
      <c r="Y18" s="62">
        <f t="shared" si="2"/>
        <v>0</v>
      </c>
    </row>
    <row r="19" spans="1:25" ht="15.75" thickBot="1" x14ac:dyDescent="0.3">
      <c r="E19" s="32">
        <f t="shared" si="1"/>
        <v>42264</v>
      </c>
      <c r="F19" s="71"/>
      <c r="G19" s="71"/>
      <c r="H19" s="72"/>
      <c r="I19" s="31">
        <f t="shared" si="0"/>
        <v>42264</v>
      </c>
      <c r="J19" s="40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2"/>
      <c r="Y19" s="62">
        <f t="shared" si="2"/>
        <v>0</v>
      </c>
    </row>
    <row r="20" spans="1:25" ht="15.75" thickBot="1" x14ac:dyDescent="0.3">
      <c r="B20" s="16" t="s">
        <v>48</v>
      </c>
      <c r="C20" s="17">
        <f>CEILING(C6+C8,100)</f>
        <v>6100</v>
      </c>
      <c r="E20" s="32">
        <f t="shared" si="1"/>
        <v>42265</v>
      </c>
      <c r="F20" s="71"/>
      <c r="G20" s="71">
        <v>300</v>
      </c>
      <c r="H20" s="72" t="s">
        <v>78</v>
      </c>
      <c r="I20" s="31">
        <f t="shared" si="0"/>
        <v>42265</v>
      </c>
      <c r="J20" s="40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2"/>
      <c r="Y20" s="62">
        <f t="shared" si="2"/>
        <v>0</v>
      </c>
    </row>
    <row r="21" spans="1:25" ht="15.75" thickBot="1" x14ac:dyDescent="0.3">
      <c r="E21" s="32">
        <f>E20+1</f>
        <v>42266</v>
      </c>
      <c r="F21" s="71">
        <f>10140</f>
        <v>10140</v>
      </c>
      <c r="G21" s="71"/>
      <c r="H21" s="72" t="s">
        <v>3</v>
      </c>
      <c r="I21" s="31">
        <f t="shared" si="0"/>
        <v>42266</v>
      </c>
      <c r="J21" s="40">
        <v>14</v>
      </c>
      <c r="K21" s="41">
        <v>22</v>
      </c>
      <c r="L21" s="41">
        <v>2</v>
      </c>
      <c r="M21" s="41">
        <v>76</v>
      </c>
      <c r="N21" s="41">
        <v>44</v>
      </c>
      <c r="O21" s="41">
        <v>17</v>
      </c>
      <c r="P21" s="41">
        <v>15</v>
      </c>
      <c r="Q21" s="41">
        <v>25</v>
      </c>
      <c r="R21" s="41">
        <v>10</v>
      </c>
      <c r="S21" s="41">
        <v>9</v>
      </c>
      <c r="T21" s="41">
        <v>13</v>
      </c>
      <c r="U21" s="41">
        <v>52</v>
      </c>
      <c r="V21" s="41">
        <v>13</v>
      </c>
      <c r="W21" s="41">
        <v>27</v>
      </c>
      <c r="X21" s="42">
        <v>13</v>
      </c>
      <c r="Y21" s="62">
        <f t="shared" si="2"/>
        <v>352</v>
      </c>
    </row>
    <row r="22" spans="1:25" ht="15.75" thickBot="1" x14ac:dyDescent="0.3">
      <c r="B22" s="52" t="s">
        <v>53</v>
      </c>
      <c r="C22" s="63">
        <f>C18</f>
        <v>27274.25641025641</v>
      </c>
      <c r="E22" s="32">
        <f t="shared" si="1"/>
        <v>42267</v>
      </c>
      <c r="F22" s="71"/>
      <c r="G22" s="71"/>
      <c r="H22" s="120"/>
      <c r="I22" s="31">
        <f t="shared" si="0"/>
        <v>42267</v>
      </c>
      <c r="J22" s="40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2"/>
      <c r="Y22" s="62">
        <f t="shared" si="2"/>
        <v>0</v>
      </c>
    </row>
    <row r="23" spans="1:25" ht="15" customHeight="1" x14ac:dyDescent="0.25">
      <c r="A23" s="133" t="s">
        <v>49</v>
      </c>
      <c r="B23" s="58" t="s">
        <v>50</v>
      </c>
      <c r="C23" s="59">
        <v>0</v>
      </c>
      <c r="E23" s="32">
        <f t="shared" si="1"/>
        <v>42268</v>
      </c>
      <c r="F23" s="71"/>
      <c r="G23" s="71"/>
      <c r="H23" s="72"/>
      <c r="I23" s="31">
        <f t="shared" si="0"/>
        <v>42268</v>
      </c>
      <c r="J23" s="40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2"/>
      <c r="Y23" s="62">
        <f t="shared" si="2"/>
        <v>0</v>
      </c>
    </row>
    <row r="24" spans="1:25" x14ac:dyDescent="0.25">
      <c r="A24" s="134"/>
      <c r="B24" s="54" t="s">
        <v>40</v>
      </c>
      <c r="C24" s="55">
        <v>0</v>
      </c>
      <c r="E24" s="32">
        <f t="shared" si="1"/>
        <v>42269</v>
      </c>
      <c r="F24" s="71"/>
      <c r="G24" s="71"/>
      <c r="H24" s="72"/>
      <c r="I24" s="31">
        <f t="shared" si="0"/>
        <v>42269</v>
      </c>
      <c r="J24" s="40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2"/>
      <c r="Y24" s="62">
        <f t="shared" si="2"/>
        <v>0</v>
      </c>
    </row>
    <row r="25" spans="1:25" x14ac:dyDescent="0.25">
      <c r="A25" s="134"/>
      <c r="B25" s="54" t="s">
        <v>51</v>
      </c>
      <c r="C25" s="55">
        <v>0</v>
      </c>
      <c r="E25" s="32">
        <f t="shared" si="1"/>
        <v>42270</v>
      </c>
      <c r="F25" s="71"/>
      <c r="G25" s="71"/>
      <c r="H25" s="72"/>
      <c r="I25" s="31">
        <f t="shared" si="0"/>
        <v>42270</v>
      </c>
      <c r="J25" s="40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2"/>
      <c r="Y25" s="62">
        <f t="shared" si="2"/>
        <v>0</v>
      </c>
    </row>
    <row r="26" spans="1:25" ht="15.75" thickBot="1" x14ac:dyDescent="0.3">
      <c r="A26" s="134"/>
      <c r="B26" s="57" t="s">
        <v>52</v>
      </c>
      <c r="C26" s="56">
        <v>0</v>
      </c>
      <c r="E26" s="32">
        <f t="shared" si="1"/>
        <v>42271</v>
      </c>
      <c r="F26" s="71"/>
      <c r="G26" s="71"/>
      <c r="H26" s="72"/>
      <c r="I26" s="31">
        <f t="shared" si="0"/>
        <v>42271</v>
      </c>
      <c r="J26" s="40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2"/>
      <c r="Y26" s="62">
        <f t="shared" si="2"/>
        <v>0</v>
      </c>
    </row>
    <row r="27" spans="1:25" ht="15.75" thickBot="1" x14ac:dyDescent="0.3">
      <c r="A27" s="134"/>
      <c r="B27" s="52" t="s">
        <v>54</v>
      </c>
      <c r="C27" s="60">
        <f>C22-SUM(C23:C26)</f>
        <v>27274.25641025641</v>
      </c>
      <c r="E27" s="32">
        <f t="shared" si="1"/>
        <v>42272</v>
      </c>
      <c r="F27" s="71"/>
      <c r="G27" s="71"/>
      <c r="H27" s="72"/>
      <c r="I27" s="31">
        <f t="shared" si="0"/>
        <v>42272</v>
      </c>
      <c r="J27" s="40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2"/>
      <c r="Y27" s="62">
        <f t="shared" si="2"/>
        <v>0</v>
      </c>
    </row>
    <row r="28" spans="1:25" ht="15.75" thickBot="1" x14ac:dyDescent="0.3">
      <c r="A28" s="135"/>
      <c r="B28" s="33"/>
      <c r="C28" s="34"/>
      <c r="E28" s="32">
        <f t="shared" si="1"/>
        <v>42273</v>
      </c>
      <c r="F28" s="71">
        <f>10620</f>
        <v>10620</v>
      </c>
      <c r="G28" s="29"/>
      <c r="H28" s="72" t="s">
        <v>3</v>
      </c>
      <c r="I28" s="31">
        <f t="shared" si="0"/>
        <v>42273</v>
      </c>
      <c r="J28" s="40">
        <v>11</v>
      </c>
      <c r="K28" s="41">
        <v>16</v>
      </c>
      <c r="L28" s="41">
        <v>5</v>
      </c>
      <c r="M28" s="41">
        <v>61</v>
      </c>
      <c r="N28" s="41">
        <v>37</v>
      </c>
      <c r="O28" s="41">
        <v>7</v>
      </c>
      <c r="P28" s="41">
        <v>11</v>
      </c>
      <c r="Q28" s="41">
        <v>108</v>
      </c>
      <c r="R28" s="41">
        <v>9</v>
      </c>
      <c r="S28" s="41">
        <v>11</v>
      </c>
      <c r="T28" s="41">
        <v>19</v>
      </c>
      <c r="U28" s="41">
        <v>16</v>
      </c>
      <c r="V28" s="41">
        <v>18</v>
      </c>
      <c r="W28" s="41">
        <v>22</v>
      </c>
      <c r="X28" s="42">
        <v>21</v>
      </c>
      <c r="Y28" s="62">
        <f t="shared" si="2"/>
        <v>372</v>
      </c>
    </row>
    <row r="29" spans="1:25" ht="15.75" thickBot="1" x14ac:dyDescent="0.3">
      <c r="B29" s="16" t="s">
        <v>28</v>
      </c>
      <c r="C29" s="17">
        <f>'9'!G35+'8'!C29</f>
        <v>292224</v>
      </c>
      <c r="E29" s="32">
        <f t="shared" si="1"/>
        <v>42274</v>
      </c>
      <c r="F29" s="71">
        <v>5388</v>
      </c>
      <c r="G29" s="71"/>
      <c r="H29" s="120" t="s">
        <v>112</v>
      </c>
      <c r="I29" s="31">
        <f t="shared" si="0"/>
        <v>42274</v>
      </c>
      <c r="J29" s="40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2"/>
      <c r="Y29" s="62">
        <f t="shared" si="2"/>
        <v>0</v>
      </c>
    </row>
    <row r="30" spans="1:25" x14ac:dyDescent="0.25">
      <c r="B30" s="46"/>
      <c r="C30" s="47"/>
      <c r="E30" s="32">
        <f t="shared" si="1"/>
        <v>42275</v>
      </c>
      <c r="F30" s="29"/>
      <c r="G30" s="29"/>
      <c r="H30" s="72"/>
      <c r="I30" s="31">
        <f t="shared" si="0"/>
        <v>42275</v>
      </c>
      <c r="J30" s="40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2"/>
      <c r="Y30" s="62">
        <f t="shared" si="2"/>
        <v>0</v>
      </c>
    </row>
    <row r="31" spans="1:25" x14ac:dyDescent="0.25">
      <c r="B31" s="43"/>
      <c r="C31" s="48"/>
      <c r="E31" s="32">
        <f t="shared" si="1"/>
        <v>42276</v>
      </c>
      <c r="F31" s="29"/>
      <c r="G31" s="29"/>
      <c r="H31" s="72"/>
      <c r="I31" s="31">
        <f t="shared" si="0"/>
        <v>42276</v>
      </c>
      <c r="J31" s="40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2"/>
      <c r="Y31" s="62">
        <f t="shared" si="2"/>
        <v>0</v>
      </c>
    </row>
    <row r="32" spans="1:25" ht="15.75" thickBot="1" x14ac:dyDescent="0.3">
      <c r="B32" s="43"/>
      <c r="C32" s="48"/>
      <c r="E32" s="32">
        <f t="shared" si="1"/>
        <v>42277</v>
      </c>
      <c r="F32" s="29">
        <f>16910-F28</f>
        <v>6290</v>
      </c>
      <c r="G32" s="29"/>
      <c r="H32" s="72" t="s">
        <v>3</v>
      </c>
      <c r="I32" s="31">
        <f t="shared" si="0"/>
        <v>42277</v>
      </c>
      <c r="J32" s="40">
        <f>J35-J28</f>
        <v>12</v>
      </c>
      <c r="K32" s="40">
        <f t="shared" ref="K32:X32" si="3">K35-K28</f>
        <v>14</v>
      </c>
      <c r="L32" s="40">
        <f t="shared" si="3"/>
        <v>2</v>
      </c>
      <c r="M32" s="40">
        <f t="shared" si="3"/>
        <v>34</v>
      </c>
      <c r="N32" s="40">
        <f t="shared" si="3"/>
        <v>28</v>
      </c>
      <c r="O32" s="40">
        <f t="shared" si="3"/>
        <v>11</v>
      </c>
      <c r="P32" s="40">
        <f t="shared" si="3"/>
        <v>2</v>
      </c>
      <c r="Q32" s="40">
        <f t="shared" si="3"/>
        <v>16</v>
      </c>
      <c r="R32" s="40">
        <f t="shared" si="3"/>
        <v>3</v>
      </c>
      <c r="S32" s="40">
        <f t="shared" si="3"/>
        <v>4</v>
      </c>
      <c r="T32" s="40">
        <f t="shared" si="3"/>
        <v>14</v>
      </c>
      <c r="U32" s="40">
        <f t="shared" si="3"/>
        <v>11</v>
      </c>
      <c r="V32" s="40">
        <f t="shared" si="3"/>
        <v>12</v>
      </c>
      <c r="W32" s="40">
        <f t="shared" si="3"/>
        <v>9</v>
      </c>
      <c r="X32" s="40">
        <f t="shared" si="3"/>
        <v>41</v>
      </c>
      <c r="Y32" s="62">
        <f t="shared" si="2"/>
        <v>213</v>
      </c>
    </row>
    <row r="33" spans="2:25" ht="15.75" hidden="1" thickBot="1" x14ac:dyDescent="0.3">
      <c r="B33" s="33"/>
      <c r="C33" s="34"/>
      <c r="E33" s="32">
        <f t="shared" si="1"/>
        <v>42278</v>
      </c>
      <c r="F33" s="29"/>
      <c r="G33" s="29"/>
      <c r="H33" s="72"/>
      <c r="I33" s="31">
        <f t="shared" si="0"/>
        <v>42278</v>
      </c>
      <c r="J33" s="40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2"/>
      <c r="Y33" s="62">
        <f t="shared" si="2"/>
        <v>0</v>
      </c>
    </row>
    <row r="34" spans="2:25" ht="15.75" thickBot="1" x14ac:dyDescent="0.3">
      <c r="B34" s="43"/>
      <c r="C34" s="48"/>
      <c r="E34" s="19" t="s">
        <v>6</v>
      </c>
      <c r="F34" s="6">
        <f>SUM(F3:F33)</f>
        <v>54088</v>
      </c>
      <c r="G34" s="6">
        <f>SUM(G3:G33)</f>
        <v>800</v>
      </c>
      <c r="H34" s="2"/>
      <c r="I34" s="22" t="s">
        <v>33</v>
      </c>
      <c r="J34" s="24">
        <f t="shared" ref="J34:Y34" si="4">SUM(J3:J33)</f>
        <v>52</v>
      </c>
      <c r="K34" s="24">
        <f t="shared" si="4"/>
        <v>79</v>
      </c>
      <c r="L34" s="24">
        <f t="shared" si="4"/>
        <v>13</v>
      </c>
      <c r="M34" s="24">
        <f t="shared" si="4"/>
        <v>286</v>
      </c>
      <c r="N34" s="24">
        <f t="shared" si="4"/>
        <v>153</v>
      </c>
      <c r="O34" s="24">
        <f t="shared" si="4"/>
        <v>74</v>
      </c>
      <c r="P34" s="24">
        <f t="shared" si="4"/>
        <v>47</v>
      </c>
      <c r="Q34" s="24">
        <f t="shared" si="4"/>
        <v>210</v>
      </c>
      <c r="R34" s="24">
        <f t="shared" si="4"/>
        <v>54</v>
      </c>
      <c r="S34" s="24">
        <f t="shared" si="4"/>
        <v>85</v>
      </c>
      <c r="T34" s="24">
        <f t="shared" si="4"/>
        <v>95</v>
      </c>
      <c r="U34" s="24">
        <f t="shared" si="4"/>
        <v>122</v>
      </c>
      <c r="V34" s="24">
        <f t="shared" si="4"/>
        <v>98</v>
      </c>
      <c r="W34" s="24">
        <f t="shared" si="4"/>
        <v>155</v>
      </c>
      <c r="X34" s="24">
        <f t="shared" si="4"/>
        <v>120</v>
      </c>
      <c r="Y34" s="24">
        <f t="shared" si="4"/>
        <v>1643</v>
      </c>
    </row>
    <row r="35" spans="2:25" ht="15.75" thickBot="1" x14ac:dyDescent="0.3">
      <c r="B35" s="43"/>
      <c r="C35" s="48"/>
      <c r="E35" s="136" t="s">
        <v>37</v>
      </c>
      <c r="F35" s="137"/>
      <c r="G35" s="1">
        <f>F34-G34</f>
        <v>53288</v>
      </c>
      <c r="H35" s="121"/>
      <c r="I35"/>
      <c r="J35" s="122">
        <v>23</v>
      </c>
      <c r="K35" s="122">
        <v>30</v>
      </c>
      <c r="L35" s="122">
        <v>7</v>
      </c>
      <c r="M35" s="122">
        <v>95</v>
      </c>
      <c r="N35" s="122">
        <v>65</v>
      </c>
      <c r="O35" s="122">
        <v>18</v>
      </c>
      <c r="P35" s="122">
        <v>13</v>
      </c>
      <c r="Q35" s="122">
        <v>124</v>
      </c>
      <c r="R35" s="122">
        <v>12</v>
      </c>
      <c r="S35" s="122">
        <v>15</v>
      </c>
      <c r="T35" s="122">
        <v>33</v>
      </c>
      <c r="U35" s="122">
        <v>27</v>
      </c>
      <c r="V35" s="122">
        <v>30</v>
      </c>
      <c r="W35" s="122">
        <v>31</v>
      </c>
      <c r="X35" s="122">
        <v>62</v>
      </c>
    </row>
    <row r="36" spans="2:25" ht="24" x14ac:dyDescent="0.25">
      <c r="B36" s="43"/>
      <c r="C36" s="48"/>
      <c r="J36" s="8" t="s">
        <v>22</v>
      </c>
      <c r="K36" s="8" t="s">
        <v>5</v>
      </c>
      <c r="L36" s="8" t="s">
        <v>13</v>
      </c>
      <c r="M36" s="8" t="s">
        <v>14</v>
      </c>
      <c r="N36" s="8" t="s">
        <v>15</v>
      </c>
      <c r="O36" s="8" t="s">
        <v>16</v>
      </c>
      <c r="P36" s="8" t="s">
        <v>17</v>
      </c>
      <c r="Q36" s="8" t="s">
        <v>23</v>
      </c>
      <c r="R36" s="8" t="s">
        <v>24</v>
      </c>
      <c r="S36" s="8" t="s">
        <v>26</v>
      </c>
      <c r="T36" s="8" t="s">
        <v>19</v>
      </c>
      <c r="U36" s="8" t="s">
        <v>20</v>
      </c>
      <c r="V36" s="8" t="s">
        <v>21</v>
      </c>
      <c r="W36" s="8" t="s">
        <v>36</v>
      </c>
      <c r="X36" s="8" t="s">
        <v>18</v>
      </c>
    </row>
    <row r="37" spans="2:25" ht="15.75" thickBot="1" x14ac:dyDescent="0.3">
      <c r="B37" s="43"/>
      <c r="C37" s="48"/>
      <c r="J37" s="9">
        <f>J34</f>
        <v>52</v>
      </c>
      <c r="K37" s="9">
        <f t="shared" ref="K37:X37" si="5">K34</f>
        <v>79</v>
      </c>
      <c r="L37" s="9">
        <f t="shared" si="5"/>
        <v>13</v>
      </c>
      <c r="M37" s="9">
        <f t="shared" si="5"/>
        <v>286</v>
      </c>
      <c r="N37" s="9">
        <f t="shared" si="5"/>
        <v>153</v>
      </c>
      <c r="O37" s="9">
        <f t="shared" si="5"/>
        <v>74</v>
      </c>
      <c r="P37" s="9">
        <f t="shared" si="5"/>
        <v>47</v>
      </c>
      <c r="Q37" s="9">
        <f t="shared" si="5"/>
        <v>210</v>
      </c>
      <c r="R37" s="9">
        <f t="shared" si="5"/>
        <v>54</v>
      </c>
      <c r="S37" s="9">
        <f t="shared" si="5"/>
        <v>85</v>
      </c>
      <c r="T37" s="9">
        <f t="shared" si="5"/>
        <v>95</v>
      </c>
      <c r="U37" s="9">
        <f t="shared" si="5"/>
        <v>122</v>
      </c>
      <c r="V37" s="9">
        <f t="shared" si="5"/>
        <v>98</v>
      </c>
      <c r="W37" s="9">
        <f t="shared" si="5"/>
        <v>155</v>
      </c>
      <c r="X37" s="9">
        <f t="shared" si="5"/>
        <v>120</v>
      </c>
    </row>
    <row r="38" spans="2:25" x14ac:dyDescent="0.25">
      <c r="B38" s="45"/>
      <c r="C38" s="45"/>
      <c r="I38" s="21"/>
      <c r="J38" s="10">
        <f>J34*'[3]Себестоимость '!D17</f>
        <v>484.03333333333336</v>
      </c>
      <c r="K38" s="10">
        <f>K34*'[3]Себестоимость '!E17</f>
        <v>655.17333333333329</v>
      </c>
      <c r="L38" s="10">
        <f>L34*'[3]Себестоимость '!F17</f>
        <v>115.41833333333334</v>
      </c>
      <c r="M38" s="10">
        <f>M34*'[3]Себестоимость '!G17</f>
        <v>2746.5533333333328</v>
      </c>
      <c r="N38" s="10">
        <f>N34*'[3]Себестоимость '!H17</f>
        <v>1394.1869999999999</v>
      </c>
      <c r="O38" s="10">
        <f>O34*'[3]Себестоимость '!I17</f>
        <v>268.12666666666667</v>
      </c>
      <c r="P38" s="10" t="e">
        <f>P34*'[3]Себестоимость '!J17</f>
        <v>#REF!</v>
      </c>
      <c r="Q38" s="10">
        <f>Q34*'[3]Себестоимость '!K17</f>
        <v>676.19999999999993</v>
      </c>
      <c r="R38" s="10">
        <f>R34*'[3]Себестоимость '!L17</f>
        <v>244.62</v>
      </c>
      <c r="S38" s="10">
        <f>S34*'[3]Себестоимость '!M17</f>
        <v>291.29500000000002</v>
      </c>
      <c r="T38" s="10">
        <f>T34*'[3]Себестоимость '!N17</f>
        <v>351.97500000000002</v>
      </c>
      <c r="U38" s="10">
        <f>U34*'[3]Себестоимость '!O17</f>
        <v>624.03</v>
      </c>
      <c r="V38" s="10">
        <f>V34*'[3]Себестоимость '!P17</f>
        <v>434.14</v>
      </c>
      <c r="W38" s="10">
        <f>W34*'[3]Себестоимость '!Q17</f>
        <v>754.07499999999993</v>
      </c>
      <c r="X38" s="10">
        <f>X34*'[3]Себестоимость '!R17</f>
        <v>567</v>
      </c>
      <c r="Y38" s="73" t="s">
        <v>30</v>
      </c>
    </row>
    <row r="39" spans="2:25" ht="15.75" thickBot="1" x14ac:dyDescent="0.3">
      <c r="B39" s="138"/>
      <c r="C39" s="138"/>
      <c r="Y39" s="74" t="s">
        <v>29</v>
      </c>
    </row>
    <row r="40" spans="2:25" x14ac:dyDescent="0.25">
      <c r="B40" s="46"/>
      <c r="C40" s="47"/>
    </row>
    <row r="41" spans="2:25" x14ac:dyDescent="0.25">
      <c r="B41" s="43"/>
      <c r="C41" s="48"/>
    </row>
    <row r="42" spans="2:25" x14ac:dyDescent="0.25">
      <c r="B42" s="45"/>
      <c r="C42" s="45"/>
    </row>
    <row r="43" spans="2:25" x14ac:dyDescent="0.25">
      <c r="B43" s="138"/>
      <c r="C43" s="138"/>
    </row>
    <row r="44" spans="2:25" x14ac:dyDescent="0.25">
      <c r="B44" s="33"/>
      <c r="C44" s="34"/>
    </row>
    <row r="45" spans="2:25" x14ac:dyDescent="0.25">
      <c r="B45" s="43"/>
      <c r="C45" s="44"/>
    </row>
  </sheetData>
  <mergeCells count="10">
    <mergeCell ref="A23:A28"/>
    <mergeCell ref="E35:F35"/>
    <mergeCell ref="B39:C39"/>
    <mergeCell ref="B43:C43"/>
    <mergeCell ref="A6:A16"/>
    <mergeCell ref="B1:C1"/>
    <mergeCell ref="E1:H1"/>
    <mergeCell ref="I1:I2"/>
    <mergeCell ref="Y1:Y2"/>
    <mergeCell ref="B2:C2"/>
  </mergeCells>
  <conditionalFormatting sqref="Y3:Y33">
    <cfRule type="cellIs" dxfId="30" priority="8" operator="equal">
      <formula>0</formula>
    </cfRule>
  </conditionalFormatting>
  <conditionalFormatting sqref="E3:E33">
    <cfRule type="cellIs" dxfId="29" priority="7" operator="equal">
      <formula>$Z$1</formula>
    </cfRule>
  </conditionalFormatting>
  <conditionalFormatting sqref="I3:I33">
    <cfRule type="cellIs" dxfId="28" priority="6" operator="equal">
      <formula>$Z$1</formula>
    </cfRule>
  </conditionalFormatting>
  <conditionalFormatting sqref="I34">
    <cfRule type="expression" dxfId="27" priority="5">
      <formula>$E$3:$E$32=TODAY()</formula>
    </cfRule>
  </conditionalFormatting>
  <conditionalFormatting sqref="I34">
    <cfRule type="cellIs" dxfId="26" priority="4" operator="equal">
      <formula>$Z$1</formula>
    </cfRule>
  </conditionalFormatting>
  <conditionalFormatting sqref="E28:F28 I28:Y28 E29:Y31 E3:Y27 E33:Y33 E32:G32 I32:Y32">
    <cfRule type="expression" dxfId="25" priority="9">
      <formula>$E3=$Z$1</formula>
    </cfRule>
  </conditionalFormatting>
  <conditionalFormatting sqref="G28">
    <cfRule type="expression" dxfId="24" priority="3">
      <formula>$E28=$Z$1</formula>
    </cfRule>
  </conditionalFormatting>
  <conditionalFormatting sqref="H28">
    <cfRule type="expression" dxfId="23" priority="2">
      <formula>$E28=$Z$1</formula>
    </cfRule>
  </conditionalFormatting>
  <conditionalFormatting sqref="H32">
    <cfRule type="expression" dxfId="22" priority="1">
      <formula>$E32=$Z$1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Z45"/>
  <sheetViews>
    <sheetView topLeftCell="D1" zoomScale="85" zoomScaleNormal="85" workbookViewId="0">
      <pane ySplit="2" topLeftCell="A15" activePane="bottomLeft" state="frozen"/>
      <selection activeCell="C15" sqref="C15"/>
      <selection pane="bottomLeft" activeCell="L8" sqref="L8"/>
    </sheetView>
  </sheetViews>
  <sheetFormatPr defaultRowHeight="15" x14ac:dyDescent="0.25"/>
  <cols>
    <col min="1" max="1" width="6.5703125" customWidth="1"/>
    <col min="2" max="2" width="30.42578125" bestFit="1" customWidth="1"/>
    <col min="3" max="3" width="15.28515625" customWidth="1"/>
    <col min="5" max="5" width="8.42578125" bestFit="1" customWidth="1"/>
    <col min="6" max="6" width="12.7109375" bestFit="1" customWidth="1"/>
    <col min="7" max="7" width="12.140625" bestFit="1" customWidth="1"/>
    <col min="8" max="8" width="48.42578125" bestFit="1" customWidth="1"/>
    <col min="9" max="9" width="8.7109375" style="20" bestFit="1" customWidth="1"/>
    <col min="10" max="10" width="12.28515625" customWidth="1"/>
    <col min="11" max="11" width="11.28515625" customWidth="1"/>
    <col min="12" max="12" width="10.140625" customWidth="1"/>
    <col min="13" max="16" width="9.28515625" bestFit="1" customWidth="1"/>
    <col min="17" max="17" width="9.85546875" bestFit="1" customWidth="1"/>
    <col min="18" max="22" width="9.28515625" bestFit="1" customWidth="1"/>
    <col min="23" max="23" width="11" customWidth="1"/>
    <col min="24" max="24" width="10.5703125" bestFit="1" customWidth="1"/>
    <col min="25" max="25" width="9.7109375" style="5" customWidth="1"/>
    <col min="26" max="26" width="10.28515625" bestFit="1" customWidth="1"/>
    <col min="249" max="249" width="30.42578125" bestFit="1" customWidth="1"/>
    <col min="250" max="250" width="12.140625" customWidth="1"/>
    <col min="251" max="251" width="29.140625" bestFit="1" customWidth="1"/>
    <col min="252" max="252" width="12.5703125" customWidth="1"/>
    <col min="254" max="254" width="24" customWidth="1"/>
    <col min="255" max="255" width="22.28515625" customWidth="1"/>
    <col min="257" max="257" width="10.140625" bestFit="1" customWidth="1"/>
    <col min="258" max="258" width="12.7109375" bestFit="1" customWidth="1"/>
    <col min="259" max="259" width="12.140625" bestFit="1" customWidth="1"/>
    <col min="260" max="260" width="24.42578125" bestFit="1" customWidth="1"/>
    <col min="505" max="505" width="30.42578125" bestFit="1" customWidth="1"/>
    <col min="506" max="506" width="12.140625" customWidth="1"/>
    <col min="507" max="507" width="29.140625" bestFit="1" customWidth="1"/>
    <col min="508" max="508" width="12.5703125" customWidth="1"/>
    <col min="510" max="510" width="24" customWidth="1"/>
    <col min="511" max="511" width="22.28515625" customWidth="1"/>
    <col min="513" max="513" width="10.140625" bestFit="1" customWidth="1"/>
    <col min="514" max="514" width="12.7109375" bestFit="1" customWidth="1"/>
    <col min="515" max="515" width="12.140625" bestFit="1" customWidth="1"/>
    <col min="516" max="516" width="24.42578125" bestFit="1" customWidth="1"/>
    <col min="761" max="761" width="30.42578125" bestFit="1" customWidth="1"/>
    <col min="762" max="762" width="12.140625" customWidth="1"/>
    <col min="763" max="763" width="29.140625" bestFit="1" customWidth="1"/>
    <col min="764" max="764" width="12.5703125" customWidth="1"/>
    <col min="766" max="766" width="24" customWidth="1"/>
    <col min="767" max="767" width="22.28515625" customWidth="1"/>
    <col min="769" max="769" width="10.140625" bestFit="1" customWidth="1"/>
    <col min="770" max="770" width="12.7109375" bestFit="1" customWidth="1"/>
    <col min="771" max="771" width="12.140625" bestFit="1" customWidth="1"/>
    <col min="772" max="772" width="24.42578125" bestFit="1" customWidth="1"/>
    <col min="1017" max="1017" width="30.42578125" bestFit="1" customWidth="1"/>
    <col min="1018" max="1018" width="12.140625" customWidth="1"/>
    <col min="1019" max="1019" width="29.140625" bestFit="1" customWidth="1"/>
    <col min="1020" max="1020" width="12.5703125" customWidth="1"/>
    <col min="1022" max="1022" width="24" customWidth="1"/>
    <col min="1023" max="1023" width="22.28515625" customWidth="1"/>
    <col min="1025" max="1025" width="10.140625" bestFit="1" customWidth="1"/>
    <col min="1026" max="1026" width="12.7109375" bestFit="1" customWidth="1"/>
    <col min="1027" max="1027" width="12.140625" bestFit="1" customWidth="1"/>
    <col min="1028" max="1028" width="24.42578125" bestFit="1" customWidth="1"/>
    <col min="1273" max="1273" width="30.42578125" bestFit="1" customWidth="1"/>
    <col min="1274" max="1274" width="12.140625" customWidth="1"/>
    <col min="1275" max="1275" width="29.140625" bestFit="1" customWidth="1"/>
    <col min="1276" max="1276" width="12.5703125" customWidth="1"/>
    <col min="1278" max="1278" width="24" customWidth="1"/>
    <col min="1279" max="1279" width="22.28515625" customWidth="1"/>
    <col min="1281" max="1281" width="10.140625" bestFit="1" customWidth="1"/>
    <col min="1282" max="1282" width="12.7109375" bestFit="1" customWidth="1"/>
    <col min="1283" max="1283" width="12.140625" bestFit="1" customWidth="1"/>
    <col min="1284" max="1284" width="24.42578125" bestFit="1" customWidth="1"/>
    <col min="1529" max="1529" width="30.42578125" bestFit="1" customWidth="1"/>
    <col min="1530" max="1530" width="12.140625" customWidth="1"/>
    <col min="1531" max="1531" width="29.140625" bestFit="1" customWidth="1"/>
    <col min="1532" max="1532" width="12.5703125" customWidth="1"/>
    <col min="1534" max="1534" width="24" customWidth="1"/>
    <col min="1535" max="1535" width="22.28515625" customWidth="1"/>
    <col min="1537" max="1537" width="10.140625" bestFit="1" customWidth="1"/>
    <col min="1538" max="1538" width="12.7109375" bestFit="1" customWidth="1"/>
    <col min="1539" max="1539" width="12.140625" bestFit="1" customWidth="1"/>
    <col min="1540" max="1540" width="24.42578125" bestFit="1" customWidth="1"/>
    <col min="1785" max="1785" width="30.42578125" bestFit="1" customWidth="1"/>
    <col min="1786" max="1786" width="12.140625" customWidth="1"/>
    <col min="1787" max="1787" width="29.140625" bestFit="1" customWidth="1"/>
    <col min="1788" max="1788" width="12.5703125" customWidth="1"/>
    <col min="1790" max="1790" width="24" customWidth="1"/>
    <col min="1791" max="1791" width="22.28515625" customWidth="1"/>
    <col min="1793" max="1793" width="10.140625" bestFit="1" customWidth="1"/>
    <col min="1794" max="1794" width="12.7109375" bestFit="1" customWidth="1"/>
    <col min="1795" max="1795" width="12.140625" bestFit="1" customWidth="1"/>
    <col min="1796" max="1796" width="24.42578125" bestFit="1" customWidth="1"/>
    <col min="2041" max="2041" width="30.42578125" bestFit="1" customWidth="1"/>
    <col min="2042" max="2042" width="12.140625" customWidth="1"/>
    <col min="2043" max="2043" width="29.140625" bestFit="1" customWidth="1"/>
    <col min="2044" max="2044" width="12.5703125" customWidth="1"/>
    <col min="2046" max="2046" width="24" customWidth="1"/>
    <col min="2047" max="2047" width="22.28515625" customWidth="1"/>
    <col min="2049" max="2049" width="10.140625" bestFit="1" customWidth="1"/>
    <col min="2050" max="2050" width="12.7109375" bestFit="1" customWidth="1"/>
    <col min="2051" max="2051" width="12.140625" bestFit="1" customWidth="1"/>
    <col min="2052" max="2052" width="24.42578125" bestFit="1" customWidth="1"/>
    <col min="2297" max="2297" width="30.42578125" bestFit="1" customWidth="1"/>
    <col min="2298" max="2298" width="12.140625" customWidth="1"/>
    <col min="2299" max="2299" width="29.140625" bestFit="1" customWidth="1"/>
    <col min="2300" max="2300" width="12.5703125" customWidth="1"/>
    <col min="2302" max="2302" width="24" customWidth="1"/>
    <col min="2303" max="2303" width="22.28515625" customWidth="1"/>
    <col min="2305" max="2305" width="10.140625" bestFit="1" customWidth="1"/>
    <col min="2306" max="2306" width="12.7109375" bestFit="1" customWidth="1"/>
    <col min="2307" max="2307" width="12.140625" bestFit="1" customWidth="1"/>
    <col min="2308" max="2308" width="24.42578125" bestFit="1" customWidth="1"/>
    <col min="2553" max="2553" width="30.42578125" bestFit="1" customWidth="1"/>
    <col min="2554" max="2554" width="12.140625" customWidth="1"/>
    <col min="2555" max="2555" width="29.140625" bestFit="1" customWidth="1"/>
    <col min="2556" max="2556" width="12.5703125" customWidth="1"/>
    <col min="2558" max="2558" width="24" customWidth="1"/>
    <col min="2559" max="2559" width="22.28515625" customWidth="1"/>
    <col min="2561" max="2561" width="10.140625" bestFit="1" customWidth="1"/>
    <col min="2562" max="2562" width="12.7109375" bestFit="1" customWidth="1"/>
    <col min="2563" max="2563" width="12.140625" bestFit="1" customWidth="1"/>
    <col min="2564" max="2564" width="24.42578125" bestFit="1" customWidth="1"/>
    <col min="2809" max="2809" width="30.42578125" bestFit="1" customWidth="1"/>
    <col min="2810" max="2810" width="12.140625" customWidth="1"/>
    <col min="2811" max="2811" width="29.140625" bestFit="1" customWidth="1"/>
    <col min="2812" max="2812" width="12.5703125" customWidth="1"/>
    <col min="2814" max="2814" width="24" customWidth="1"/>
    <col min="2815" max="2815" width="22.28515625" customWidth="1"/>
    <col min="2817" max="2817" width="10.140625" bestFit="1" customWidth="1"/>
    <col min="2818" max="2818" width="12.7109375" bestFit="1" customWidth="1"/>
    <col min="2819" max="2819" width="12.140625" bestFit="1" customWidth="1"/>
    <col min="2820" max="2820" width="24.42578125" bestFit="1" customWidth="1"/>
    <col min="3065" max="3065" width="30.42578125" bestFit="1" customWidth="1"/>
    <col min="3066" max="3066" width="12.140625" customWidth="1"/>
    <col min="3067" max="3067" width="29.140625" bestFit="1" customWidth="1"/>
    <col min="3068" max="3068" width="12.5703125" customWidth="1"/>
    <col min="3070" max="3070" width="24" customWidth="1"/>
    <col min="3071" max="3071" width="22.28515625" customWidth="1"/>
    <col min="3073" max="3073" width="10.140625" bestFit="1" customWidth="1"/>
    <col min="3074" max="3074" width="12.7109375" bestFit="1" customWidth="1"/>
    <col min="3075" max="3075" width="12.140625" bestFit="1" customWidth="1"/>
    <col min="3076" max="3076" width="24.42578125" bestFit="1" customWidth="1"/>
    <col min="3321" max="3321" width="30.42578125" bestFit="1" customWidth="1"/>
    <col min="3322" max="3322" width="12.140625" customWidth="1"/>
    <col min="3323" max="3323" width="29.140625" bestFit="1" customWidth="1"/>
    <col min="3324" max="3324" width="12.5703125" customWidth="1"/>
    <col min="3326" max="3326" width="24" customWidth="1"/>
    <col min="3327" max="3327" width="22.28515625" customWidth="1"/>
    <col min="3329" max="3329" width="10.140625" bestFit="1" customWidth="1"/>
    <col min="3330" max="3330" width="12.7109375" bestFit="1" customWidth="1"/>
    <col min="3331" max="3331" width="12.140625" bestFit="1" customWidth="1"/>
    <col min="3332" max="3332" width="24.42578125" bestFit="1" customWidth="1"/>
    <col min="3577" max="3577" width="30.42578125" bestFit="1" customWidth="1"/>
    <col min="3578" max="3578" width="12.140625" customWidth="1"/>
    <col min="3579" max="3579" width="29.140625" bestFit="1" customWidth="1"/>
    <col min="3580" max="3580" width="12.5703125" customWidth="1"/>
    <col min="3582" max="3582" width="24" customWidth="1"/>
    <col min="3583" max="3583" width="22.28515625" customWidth="1"/>
    <col min="3585" max="3585" width="10.140625" bestFit="1" customWidth="1"/>
    <col min="3586" max="3586" width="12.7109375" bestFit="1" customWidth="1"/>
    <col min="3587" max="3587" width="12.140625" bestFit="1" customWidth="1"/>
    <col min="3588" max="3588" width="24.42578125" bestFit="1" customWidth="1"/>
    <col min="3833" max="3833" width="30.42578125" bestFit="1" customWidth="1"/>
    <col min="3834" max="3834" width="12.140625" customWidth="1"/>
    <col min="3835" max="3835" width="29.140625" bestFit="1" customWidth="1"/>
    <col min="3836" max="3836" width="12.5703125" customWidth="1"/>
    <col min="3838" max="3838" width="24" customWidth="1"/>
    <col min="3839" max="3839" width="22.28515625" customWidth="1"/>
    <col min="3841" max="3841" width="10.140625" bestFit="1" customWidth="1"/>
    <col min="3842" max="3842" width="12.7109375" bestFit="1" customWidth="1"/>
    <col min="3843" max="3843" width="12.140625" bestFit="1" customWidth="1"/>
    <col min="3844" max="3844" width="24.42578125" bestFit="1" customWidth="1"/>
    <col min="4089" max="4089" width="30.42578125" bestFit="1" customWidth="1"/>
    <col min="4090" max="4090" width="12.140625" customWidth="1"/>
    <col min="4091" max="4091" width="29.140625" bestFit="1" customWidth="1"/>
    <col min="4092" max="4092" width="12.5703125" customWidth="1"/>
    <col min="4094" max="4094" width="24" customWidth="1"/>
    <col min="4095" max="4095" width="22.28515625" customWidth="1"/>
    <col min="4097" max="4097" width="10.140625" bestFit="1" customWidth="1"/>
    <col min="4098" max="4098" width="12.7109375" bestFit="1" customWidth="1"/>
    <col min="4099" max="4099" width="12.140625" bestFit="1" customWidth="1"/>
    <col min="4100" max="4100" width="24.42578125" bestFit="1" customWidth="1"/>
    <col min="4345" max="4345" width="30.42578125" bestFit="1" customWidth="1"/>
    <col min="4346" max="4346" width="12.140625" customWidth="1"/>
    <col min="4347" max="4347" width="29.140625" bestFit="1" customWidth="1"/>
    <col min="4348" max="4348" width="12.5703125" customWidth="1"/>
    <col min="4350" max="4350" width="24" customWidth="1"/>
    <col min="4351" max="4351" width="22.28515625" customWidth="1"/>
    <col min="4353" max="4353" width="10.140625" bestFit="1" customWidth="1"/>
    <col min="4354" max="4354" width="12.7109375" bestFit="1" customWidth="1"/>
    <col min="4355" max="4355" width="12.140625" bestFit="1" customWidth="1"/>
    <col min="4356" max="4356" width="24.42578125" bestFit="1" customWidth="1"/>
    <col min="4601" max="4601" width="30.42578125" bestFit="1" customWidth="1"/>
    <col min="4602" max="4602" width="12.140625" customWidth="1"/>
    <col min="4603" max="4603" width="29.140625" bestFit="1" customWidth="1"/>
    <col min="4604" max="4604" width="12.5703125" customWidth="1"/>
    <col min="4606" max="4606" width="24" customWidth="1"/>
    <col min="4607" max="4607" width="22.28515625" customWidth="1"/>
    <col min="4609" max="4609" width="10.140625" bestFit="1" customWidth="1"/>
    <col min="4610" max="4610" width="12.7109375" bestFit="1" customWidth="1"/>
    <col min="4611" max="4611" width="12.140625" bestFit="1" customWidth="1"/>
    <col min="4612" max="4612" width="24.42578125" bestFit="1" customWidth="1"/>
    <col min="4857" max="4857" width="30.42578125" bestFit="1" customWidth="1"/>
    <col min="4858" max="4858" width="12.140625" customWidth="1"/>
    <col min="4859" max="4859" width="29.140625" bestFit="1" customWidth="1"/>
    <col min="4860" max="4860" width="12.5703125" customWidth="1"/>
    <col min="4862" max="4862" width="24" customWidth="1"/>
    <col min="4863" max="4863" width="22.28515625" customWidth="1"/>
    <col min="4865" max="4865" width="10.140625" bestFit="1" customWidth="1"/>
    <col min="4866" max="4866" width="12.7109375" bestFit="1" customWidth="1"/>
    <col min="4867" max="4867" width="12.140625" bestFit="1" customWidth="1"/>
    <col min="4868" max="4868" width="24.42578125" bestFit="1" customWidth="1"/>
    <col min="5113" max="5113" width="30.42578125" bestFit="1" customWidth="1"/>
    <col min="5114" max="5114" width="12.140625" customWidth="1"/>
    <col min="5115" max="5115" width="29.140625" bestFit="1" customWidth="1"/>
    <col min="5116" max="5116" width="12.5703125" customWidth="1"/>
    <col min="5118" max="5118" width="24" customWidth="1"/>
    <col min="5119" max="5119" width="22.28515625" customWidth="1"/>
    <col min="5121" max="5121" width="10.140625" bestFit="1" customWidth="1"/>
    <col min="5122" max="5122" width="12.7109375" bestFit="1" customWidth="1"/>
    <col min="5123" max="5123" width="12.140625" bestFit="1" customWidth="1"/>
    <col min="5124" max="5124" width="24.42578125" bestFit="1" customWidth="1"/>
    <col min="5369" max="5369" width="30.42578125" bestFit="1" customWidth="1"/>
    <col min="5370" max="5370" width="12.140625" customWidth="1"/>
    <col min="5371" max="5371" width="29.140625" bestFit="1" customWidth="1"/>
    <col min="5372" max="5372" width="12.5703125" customWidth="1"/>
    <col min="5374" max="5374" width="24" customWidth="1"/>
    <col min="5375" max="5375" width="22.28515625" customWidth="1"/>
    <col min="5377" max="5377" width="10.140625" bestFit="1" customWidth="1"/>
    <col min="5378" max="5378" width="12.7109375" bestFit="1" customWidth="1"/>
    <col min="5379" max="5379" width="12.140625" bestFit="1" customWidth="1"/>
    <col min="5380" max="5380" width="24.42578125" bestFit="1" customWidth="1"/>
    <col min="5625" max="5625" width="30.42578125" bestFit="1" customWidth="1"/>
    <col min="5626" max="5626" width="12.140625" customWidth="1"/>
    <col min="5627" max="5627" width="29.140625" bestFit="1" customWidth="1"/>
    <col min="5628" max="5628" width="12.5703125" customWidth="1"/>
    <col min="5630" max="5630" width="24" customWidth="1"/>
    <col min="5631" max="5631" width="22.28515625" customWidth="1"/>
    <col min="5633" max="5633" width="10.140625" bestFit="1" customWidth="1"/>
    <col min="5634" max="5634" width="12.7109375" bestFit="1" customWidth="1"/>
    <col min="5635" max="5635" width="12.140625" bestFit="1" customWidth="1"/>
    <col min="5636" max="5636" width="24.42578125" bestFit="1" customWidth="1"/>
    <col min="5881" max="5881" width="30.42578125" bestFit="1" customWidth="1"/>
    <col min="5882" max="5882" width="12.140625" customWidth="1"/>
    <col min="5883" max="5883" width="29.140625" bestFit="1" customWidth="1"/>
    <col min="5884" max="5884" width="12.5703125" customWidth="1"/>
    <col min="5886" max="5886" width="24" customWidth="1"/>
    <col min="5887" max="5887" width="22.28515625" customWidth="1"/>
    <col min="5889" max="5889" width="10.140625" bestFit="1" customWidth="1"/>
    <col min="5890" max="5890" width="12.7109375" bestFit="1" customWidth="1"/>
    <col min="5891" max="5891" width="12.140625" bestFit="1" customWidth="1"/>
    <col min="5892" max="5892" width="24.42578125" bestFit="1" customWidth="1"/>
    <col min="6137" max="6137" width="30.42578125" bestFit="1" customWidth="1"/>
    <col min="6138" max="6138" width="12.140625" customWidth="1"/>
    <col min="6139" max="6139" width="29.140625" bestFit="1" customWidth="1"/>
    <col min="6140" max="6140" width="12.5703125" customWidth="1"/>
    <col min="6142" max="6142" width="24" customWidth="1"/>
    <col min="6143" max="6143" width="22.28515625" customWidth="1"/>
    <col min="6145" max="6145" width="10.140625" bestFit="1" customWidth="1"/>
    <col min="6146" max="6146" width="12.7109375" bestFit="1" customWidth="1"/>
    <col min="6147" max="6147" width="12.140625" bestFit="1" customWidth="1"/>
    <col min="6148" max="6148" width="24.42578125" bestFit="1" customWidth="1"/>
    <col min="6393" max="6393" width="30.42578125" bestFit="1" customWidth="1"/>
    <col min="6394" max="6394" width="12.140625" customWidth="1"/>
    <col min="6395" max="6395" width="29.140625" bestFit="1" customWidth="1"/>
    <col min="6396" max="6396" width="12.5703125" customWidth="1"/>
    <col min="6398" max="6398" width="24" customWidth="1"/>
    <col min="6399" max="6399" width="22.28515625" customWidth="1"/>
    <col min="6401" max="6401" width="10.140625" bestFit="1" customWidth="1"/>
    <col min="6402" max="6402" width="12.7109375" bestFit="1" customWidth="1"/>
    <col min="6403" max="6403" width="12.140625" bestFit="1" customWidth="1"/>
    <col min="6404" max="6404" width="24.42578125" bestFit="1" customWidth="1"/>
    <col min="6649" max="6649" width="30.42578125" bestFit="1" customWidth="1"/>
    <col min="6650" max="6650" width="12.140625" customWidth="1"/>
    <col min="6651" max="6651" width="29.140625" bestFit="1" customWidth="1"/>
    <col min="6652" max="6652" width="12.5703125" customWidth="1"/>
    <col min="6654" max="6654" width="24" customWidth="1"/>
    <col min="6655" max="6655" width="22.28515625" customWidth="1"/>
    <col min="6657" max="6657" width="10.140625" bestFit="1" customWidth="1"/>
    <col min="6658" max="6658" width="12.7109375" bestFit="1" customWidth="1"/>
    <col min="6659" max="6659" width="12.140625" bestFit="1" customWidth="1"/>
    <col min="6660" max="6660" width="24.42578125" bestFit="1" customWidth="1"/>
    <col min="6905" max="6905" width="30.42578125" bestFit="1" customWidth="1"/>
    <col min="6906" max="6906" width="12.140625" customWidth="1"/>
    <col min="6907" max="6907" width="29.140625" bestFit="1" customWidth="1"/>
    <col min="6908" max="6908" width="12.5703125" customWidth="1"/>
    <col min="6910" max="6910" width="24" customWidth="1"/>
    <col min="6911" max="6911" width="22.28515625" customWidth="1"/>
    <col min="6913" max="6913" width="10.140625" bestFit="1" customWidth="1"/>
    <col min="6914" max="6914" width="12.7109375" bestFit="1" customWidth="1"/>
    <col min="6915" max="6915" width="12.140625" bestFit="1" customWidth="1"/>
    <col min="6916" max="6916" width="24.42578125" bestFit="1" customWidth="1"/>
    <col min="7161" max="7161" width="30.42578125" bestFit="1" customWidth="1"/>
    <col min="7162" max="7162" width="12.140625" customWidth="1"/>
    <col min="7163" max="7163" width="29.140625" bestFit="1" customWidth="1"/>
    <col min="7164" max="7164" width="12.5703125" customWidth="1"/>
    <col min="7166" max="7166" width="24" customWidth="1"/>
    <col min="7167" max="7167" width="22.28515625" customWidth="1"/>
    <col min="7169" max="7169" width="10.140625" bestFit="1" customWidth="1"/>
    <col min="7170" max="7170" width="12.7109375" bestFit="1" customWidth="1"/>
    <col min="7171" max="7171" width="12.140625" bestFit="1" customWidth="1"/>
    <col min="7172" max="7172" width="24.42578125" bestFit="1" customWidth="1"/>
    <col min="7417" max="7417" width="30.42578125" bestFit="1" customWidth="1"/>
    <col min="7418" max="7418" width="12.140625" customWidth="1"/>
    <col min="7419" max="7419" width="29.140625" bestFit="1" customWidth="1"/>
    <col min="7420" max="7420" width="12.5703125" customWidth="1"/>
    <col min="7422" max="7422" width="24" customWidth="1"/>
    <col min="7423" max="7423" width="22.28515625" customWidth="1"/>
    <col min="7425" max="7425" width="10.140625" bestFit="1" customWidth="1"/>
    <col min="7426" max="7426" width="12.7109375" bestFit="1" customWidth="1"/>
    <col min="7427" max="7427" width="12.140625" bestFit="1" customWidth="1"/>
    <col min="7428" max="7428" width="24.42578125" bestFit="1" customWidth="1"/>
    <col min="7673" max="7673" width="30.42578125" bestFit="1" customWidth="1"/>
    <col min="7674" max="7674" width="12.140625" customWidth="1"/>
    <col min="7675" max="7675" width="29.140625" bestFit="1" customWidth="1"/>
    <col min="7676" max="7676" width="12.5703125" customWidth="1"/>
    <col min="7678" max="7678" width="24" customWidth="1"/>
    <col min="7679" max="7679" width="22.28515625" customWidth="1"/>
    <col min="7681" max="7681" width="10.140625" bestFit="1" customWidth="1"/>
    <col min="7682" max="7682" width="12.7109375" bestFit="1" customWidth="1"/>
    <col min="7683" max="7683" width="12.140625" bestFit="1" customWidth="1"/>
    <col min="7684" max="7684" width="24.42578125" bestFit="1" customWidth="1"/>
    <col min="7929" max="7929" width="30.42578125" bestFit="1" customWidth="1"/>
    <col min="7930" max="7930" width="12.140625" customWidth="1"/>
    <col min="7931" max="7931" width="29.140625" bestFit="1" customWidth="1"/>
    <col min="7932" max="7932" width="12.5703125" customWidth="1"/>
    <col min="7934" max="7934" width="24" customWidth="1"/>
    <col min="7935" max="7935" width="22.28515625" customWidth="1"/>
    <col min="7937" max="7937" width="10.140625" bestFit="1" customWidth="1"/>
    <col min="7938" max="7938" width="12.7109375" bestFit="1" customWidth="1"/>
    <col min="7939" max="7939" width="12.140625" bestFit="1" customWidth="1"/>
    <col min="7940" max="7940" width="24.42578125" bestFit="1" customWidth="1"/>
    <col min="8185" max="8185" width="30.42578125" bestFit="1" customWidth="1"/>
    <col min="8186" max="8186" width="12.140625" customWidth="1"/>
    <col min="8187" max="8187" width="29.140625" bestFit="1" customWidth="1"/>
    <col min="8188" max="8188" width="12.5703125" customWidth="1"/>
    <col min="8190" max="8190" width="24" customWidth="1"/>
    <col min="8191" max="8191" width="22.28515625" customWidth="1"/>
    <col min="8193" max="8193" width="10.140625" bestFit="1" customWidth="1"/>
    <col min="8194" max="8194" width="12.7109375" bestFit="1" customWidth="1"/>
    <col min="8195" max="8195" width="12.140625" bestFit="1" customWidth="1"/>
    <col min="8196" max="8196" width="24.42578125" bestFit="1" customWidth="1"/>
    <col min="8441" max="8441" width="30.42578125" bestFit="1" customWidth="1"/>
    <col min="8442" max="8442" width="12.140625" customWidth="1"/>
    <col min="8443" max="8443" width="29.140625" bestFit="1" customWidth="1"/>
    <col min="8444" max="8444" width="12.5703125" customWidth="1"/>
    <col min="8446" max="8446" width="24" customWidth="1"/>
    <col min="8447" max="8447" width="22.28515625" customWidth="1"/>
    <col min="8449" max="8449" width="10.140625" bestFit="1" customWidth="1"/>
    <col min="8450" max="8450" width="12.7109375" bestFit="1" customWidth="1"/>
    <col min="8451" max="8451" width="12.140625" bestFit="1" customWidth="1"/>
    <col min="8452" max="8452" width="24.42578125" bestFit="1" customWidth="1"/>
    <col min="8697" max="8697" width="30.42578125" bestFit="1" customWidth="1"/>
    <col min="8698" max="8698" width="12.140625" customWidth="1"/>
    <col min="8699" max="8699" width="29.140625" bestFit="1" customWidth="1"/>
    <col min="8700" max="8700" width="12.5703125" customWidth="1"/>
    <col min="8702" max="8702" width="24" customWidth="1"/>
    <col min="8703" max="8703" width="22.28515625" customWidth="1"/>
    <col min="8705" max="8705" width="10.140625" bestFit="1" customWidth="1"/>
    <col min="8706" max="8706" width="12.7109375" bestFit="1" customWidth="1"/>
    <col min="8707" max="8707" width="12.140625" bestFit="1" customWidth="1"/>
    <col min="8708" max="8708" width="24.42578125" bestFit="1" customWidth="1"/>
    <col min="8953" max="8953" width="30.42578125" bestFit="1" customWidth="1"/>
    <col min="8954" max="8954" width="12.140625" customWidth="1"/>
    <col min="8955" max="8955" width="29.140625" bestFit="1" customWidth="1"/>
    <col min="8956" max="8956" width="12.5703125" customWidth="1"/>
    <col min="8958" max="8958" width="24" customWidth="1"/>
    <col min="8959" max="8959" width="22.28515625" customWidth="1"/>
    <col min="8961" max="8961" width="10.140625" bestFit="1" customWidth="1"/>
    <col min="8962" max="8962" width="12.7109375" bestFit="1" customWidth="1"/>
    <col min="8963" max="8963" width="12.140625" bestFit="1" customWidth="1"/>
    <col min="8964" max="8964" width="24.42578125" bestFit="1" customWidth="1"/>
    <col min="9209" max="9209" width="30.42578125" bestFit="1" customWidth="1"/>
    <col min="9210" max="9210" width="12.140625" customWidth="1"/>
    <col min="9211" max="9211" width="29.140625" bestFit="1" customWidth="1"/>
    <col min="9212" max="9212" width="12.5703125" customWidth="1"/>
    <col min="9214" max="9214" width="24" customWidth="1"/>
    <col min="9215" max="9215" width="22.28515625" customWidth="1"/>
    <col min="9217" max="9217" width="10.140625" bestFit="1" customWidth="1"/>
    <col min="9218" max="9218" width="12.7109375" bestFit="1" customWidth="1"/>
    <col min="9219" max="9219" width="12.140625" bestFit="1" customWidth="1"/>
    <col min="9220" max="9220" width="24.42578125" bestFit="1" customWidth="1"/>
    <col min="9465" max="9465" width="30.42578125" bestFit="1" customWidth="1"/>
    <col min="9466" max="9466" width="12.140625" customWidth="1"/>
    <col min="9467" max="9467" width="29.140625" bestFit="1" customWidth="1"/>
    <col min="9468" max="9468" width="12.5703125" customWidth="1"/>
    <col min="9470" max="9470" width="24" customWidth="1"/>
    <col min="9471" max="9471" width="22.28515625" customWidth="1"/>
    <col min="9473" max="9473" width="10.140625" bestFit="1" customWidth="1"/>
    <col min="9474" max="9474" width="12.7109375" bestFit="1" customWidth="1"/>
    <col min="9475" max="9475" width="12.140625" bestFit="1" customWidth="1"/>
    <col min="9476" max="9476" width="24.42578125" bestFit="1" customWidth="1"/>
    <col min="9721" max="9721" width="30.42578125" bestFit="1" customWidth="1"/>
    <col min="9722" max="9722" width="12.140625" customWidth="1"/>
    <col min="9723" max="9723" width="29.140625" bestFit="1" customWidth="1"/>
    <col min="9724" max="9724" width="12.5703125" customWidth="1"/>
    <col min="9726" max="9726" width="24" customWidth="1"/>
    <col min="9727" max="9727" width="22.28515625" customWidth="1"/>
    <col min="9729" max="9729" width="10.140625" bestFit="1" customWidth="1"/>
    <col min="9730" max="9730" width="12.7109375" bestFit="1" customWidth="1"/>
    <col min="9731" max="9731" width="12.140625" bestFit="1" customWidth="1"/>
    <col min="9732" max="9732" width="24.42578125" bestFit="1" customWidth="1"/>
    <col min="9977" max="9977" width="30.42578125" bestFit="1" customWidth="1"/>
    <col min="9978" max="9978" width="12.140625" customWidth="1"/>
    <col min="9979" max="9979" width="29.140625" bestFit="1" customWidth="1"/>
    <col min="9980" max="9980" width="12.5703125" customWidth="1"/>
    <col min="9982" max="9982" width="24" customWidth="1"/>
    <col min="9983" max="9983" width="22.28515625" customWidth="1"/>
    <col min="9985" max="9985" width="10.140625" bestFit="1" customWidth="1"/>
    <col min="9986" max="9986" width="12.7109375" bestFit="1" customWidth="1"/>
    <col min="9987" max="9987" width="12.140625" bestFit="1" customWidth="1"/>
    <col min="9988" max="9988" width="24.42578125" bestFit="1" customWidth="1"/>
    <col min="10233" max="10233" width="30.42578125" bestFit="1" customWidth="1"/>
    <col min="10234" max="10234" width="12.140625" customWidth="1"/>
    <col min="10235" max="10235" width="29.140625" bestFit="1" customWidth="1"/>
    <col min="10236" max="10236" width="12.5703125" customWidth="1"/>
    <col min="10238" max="10238" width="24" customWidth="1"/>
    <col min="10239" max="10239" width="22.28515625" customWidth="1"/>
    <col min="10241" max="10241" width="10.140625" bestFit="1" customWidth="1"/>
    <col min="10242" max="10242" width="12.7109375" bestFit="1" customWidth="1"/>
    <col min="10243" max="10243" width="12.140625" bestFit="1" customWidth="1"/>
    <col min="10244" max="10244" width="24.42578125" bestFit="1" customWidth="1"/>
    <col min="10489" max="10489" width="30.42578125" bestFit="1" customWidth="1"/>
    <col min="10490" max="10490" width="12.140625" customWidth="1"/>
    <col min="10491" max="10491" width="29.140625" bestFit="1" customWidth="1"/>
    <col min="10492" max="10492" width="12.5703125" customWidth="1"/>
    <col min="10494" max="10494" width="24" customWidth="1"/>
    <col min="10495" max="10495" width="22.28515625" customWidth="1"/>
    <col min="10497" max="10497" width="10.140625" bestFit="1" customWidth="1"/>
    <col min="10498" max="10498" width="12.7109375" bestFit="1" customWidth="1"/>
    <col min="10499" max="10499" width="12.140625" bestFit="1" customWidth="1"/>
    <col min="10500" max="10500" width="24.42578125" bestFit="1" customWidth="1"/>
    <col min="10745" max="10745" width="30.42578125" bestFit="1" customWidth="1"/>
    <col min="10746" max="10746" width="12.140625" customWidth="1"/>
    <col min="10747" max="10747" width="29.140625" bestFit="1" customWidth="1"/>
    <col min="10748" max="10748" width="12.5703125" customWidth="1"/>
    <col min="10750" max="10750" width="24" customWidth="1"/>
    <col min="10751" max="10751" width="22.28515625" customWidth="1"/>
    <col min="10753" max="10753" width="10.140625" bestFit="1" customWidth="1"/>
    <col min="10754" max="10754" width="12.7109375" bestFit="1" customWidth="1"/>
    <col min="10755" max="10755" width="12.140625" bestFit="1" customWidth="1"/>
    <col min="10756" max="10756" width="24.42578125" bestFit="1" customWidth="1"/>
    <col min="11001" max="11001" width="30.42578125" bestFit="1" customWidth="1"/>
    <col min="11002" max="11002" width="12.140625" customWidth="1"/>
    <col min="11003" max="11003" width="29.140625" bestFit="1" customWidth="1"/>
    <col min="11004" max="11004" width="12.5703125" customWidth="1"/>
    <col min="11006" max="11006" width="24" customWidth="1"/>
    <col min="11007" max="11007" width="22.28515625" customWidth="1"/>
    <col min="11009" max="11009" width="10.140625" bestFit="1" customWidth="1"/>
    <col min="11010" max="11010" width="12.7109375" bestFit="1" customWidth="1"/>
    <col min="11011" max="11011" width="12.140625" bestFit="1" customWidth="1"/>
    <col min="11012" max="11012" width="24.42578125" bestFit="1" customWidth="1"/>
    <col min="11257" max="11257" width="30.42578125" bestFit="1" customWidth="1"/>
    <col min="11258" max="11258" width="12.140625" customWidth="1"/>
    <col min="11259" max="11259" width="29.140625" bestFit="1" customWidth="1"/>
    <col min="11260" max="11260" width="12.5703125" customWidth="1"/>
    <col min="11262" max="11262" width="24" customWidth="1"/>
    <col min="11263" max="11263" width="22.28515625" customWidth="1"/>
    <col min="11265" max="11265" width="10.140625" bestFit="1" customWidth="1"/>
    <col min="11266" max="11266" width="12.7109375" bestFit="1" customWidth="1"/>
    <col min="11267" max="11267" width="12.140625" bestFit="1" customWidth="1"/>
    <col min="11268" max="11268" width="24.42578125" bestFit="1" customWidth="1"/>
    <col min="11513" max="11513" width="30.42578125" bestFit="1" customWidth="1"/>
    <col min="11514" max="11514" width="12.140625" customWidth="1"/>
    <col min="11515" max="11515" width="29.140625" bestFit="1" customWidth="1"/>
    <col min="11516" max="11516" width="12.5703125" customWidth="1"/>
    <col min="11518" max="11518" width="24" customWidth="1"/>
    <col min="11519" max="11519" width="22.28515625" customWidth="1"/>
    <col min="11521" max="11521" width="10.140625" bestFit="1" customWidth="1"/>
    <col min="11522" max="11522" width="12.7109375" bestFit="1" customWidth="1"/>
    <col min="11523" max="11523" width="12.140625" bestFit="1" customWidth="1"/>
    <col min="11524" max="11524" width="24.42578125" bestFit="1" customWidth="1"/>
    <col min="11769" max="11769" width="30.42578125" bestFit="1" customWidth="1"/>
    <col min="11770" max="11770" width="12.140625" customWidth="1"/>
    <col min="11771" max="11771" width="29.140625" bestFit="1" customWidth="1"/>
    <col min="11772" max="11772" width="12.5703125" customWidth="1"/>
    <col min="11774" max="11774" width="24" customWidth="1"/>
    <col min="11775" max="11775" width="22.28515625" customWidth="1"/>
    <col min="11777" max="11777" width="10.140625" bestFit="1" customWidth="1"/>
    <col min="11778" max="11778" width="12.7109375" bestFit="1" customWidth="1"/>
    <col min="11779" max="11779" width="12.140625" bestFit="1" customWidth="1"/>
    <col min="11780" max="11780" width="24.42578125" bestFit="1" customWidth="1"/>
    <col min="12025" max="12025" width="30.42578125" bestFit="1" customWidth="1"/>
    <col min="12026" max="12026" width="12.140625" customWidth="1"/>
    <col min="12027" max="12027" width="29.140625" bestFit="1" customWidth="1"/>
    <col min="12028" max="12028" width="12.5703125" customWidth="1"/>
    <col min="12030" max="12030" width="24" customWidth="1"/>
    <col min="12031" max="12031" width="22.28515625" customWidth="1"/>
    <col min="12033" max="12033" width="10.140625" bestFit="1" customWidth="1"/>
    <col min="12034" max="12034" width="12.7109375" bestFit="1" customWidth="1"/>
    <col min="12035" max="12035" width="12.140625" bestFit="1" customWidth="1"/>
    <col min="12036" max="12036" width="24.42578125" bestFit="1" customWidth="1"/>
    <col min="12281" max="12281" width="30.42578125" bestFit="1" customWidth="1"/>
    <col min="12282" max="12282" width="12.140625" customWidth="1"/>
    <col min="12283" max="12283" width="29.140625" bestFit="1" customWidth="1"/>
    <col min="12284" max="12284" width="12.5703125" customWidth="1"/>
    <col min="12286" max="12286" width="24" customWidth="1"/>
    <col min="12287" max="12287" width="22.28515625" customWidth="1"/>
    <col min="12289" max="12289" width="10.140625" bestFit="1" customWidth="1"/>
    <col min="12290" max="12290" width="12.7109375" bestFit="1" customWidth="1"/>
    <col min="12291" max="12291" width="12.140625" bestFit="1" customWidth="1"/>
    <col min="12292" max="12292" width="24.42578125" bestFit="1" customWidth="1"/>
    <col min="12537" max="12537" width="30.42578125" bestFit="1" customWidth="1"/>
    <col min="12538" max="12538" width="12.140625" customWidth="1"/>
    <col min="12539" max="12539" width="29.140625" bestFit="1" customWidth="1"/>
    <col min="12540" max="12540" width="12.5703125" customWidth="1"/>
    <col min="12542" max="12542" width="24" customWidth="1"/>
    <col min="12543" max="12543" width="22.28515625" customWidth="1"/>
    <col min="12545" max="12545" width="10.140625" bestFit="1" customWidth="1"/>
    <col min="12546" max="12546" width="12.7109375" bestFit="1" customWidth="1"/>
    <col min="12547" max="12547" width="12.140625" bestFit="1" customWidth="1"/>
    <col min="12548" max="12548" width="24.42578125" bestFit="1" customWidth="1"/>
    <col min="12793" max="12793" width="30.42578125" bestFit="1" customWidth="1"/>
    <col min="12794" max="12794" width="12.140625" customWidth="1"/>
    <col min="12795" max="12795" width="29.140625" bestFit="1" customWidth="1"/>
    <col min="12796" max="12796" width="12.5703125" customWidth="1"/>
    <col min="12798" max="12798" width="24" customWidth="1"/>
    <col min="12799" max="12799" width="22.28515625" customWidth="1"/>
    <col min="12801" max="12801" width="10.140625" bestFit="1" customWidth="1"/>
    <col min="12802" max="12802" width="12.7109375" bestFit="1" customWidth="1"/>
    <col min="12803" max="12803" width="12.140625" bestFit="1" customWidth="1"/>
    <col min="12804" max="12804" width="24.42578125" bestFit="1" customWidth="1"/>
    <col min="13049" max="13049" width="30.42578125" bestFit="1" customWidth="1"/>
    <col min="13050" max="13050" width="12.140625" customWidth="1"/>
    <col min="13051" max="13051" width="29.140625" bestFit="1" customWidth="1"/>
    <col min="13052" max="13052" width="12.5703125" customWidth="1"/>
    <col min="13054" max="13054" width="24" customWidth="1"/>
    <col min="13055" max="13055" width="22.28515625" customWidth="1"/>
    <col min="13057" max="13057" width="10.140625" bestFit="1" customWidth="1"/>
    <col min="13058" max="13058" width="12.7109375" bestFit="1" customWidth="1"/>
    <col min="13059" max="13059" width="12.140625" bestFit="1" customWidth="1"/>
    <col min="13060" max="13060" width="24.42578125" bestFit="1" customWidth="1"/>
    <col min="13305" max="13305" width="30.42578125" bestFit="1" customWidth="1"/>
    <col min="13306" max="13306" width="12.140625" customWidth="1"/>
    <col min="13307" max="13307" width="29.140625" bestFit="1" customWidth="1"/>
    <col min="13308" max="13308" width="12.5703125" customWidth="1"/>
    <col min="13310" max="13310" width="24" customWidth="1"/>
    <col min="13311" max="13311" width="22.28515625" customWidth="1"/>
    <col min="13313" max="13313" width="10.140625" bestFit="1" customWidth="1"/>
    <col min="13314" max="13314" width="12.7109375" bestFit="1" customWidth="1"/>
    <col min="13315" max="13315" width="12.140625" bestFit="1" customWidth="1"/>
    <col min="13316" max="13316" width="24.42578125" bestFit="1" customWidth="1"/>
    <col min="13561" max="13561" width="30.42578125" bestFit="1" customWidth="1"/>
    <col min="13562" max="13562" width="12.140625" customWidth="1"/>
    <col min="13563" max="13563" width="29.140625" bestFit="1" customWidth="1"/>
    <col min="13564" max="13564" width="12.5703125" customWidth="1"/>
    <col min="13566" max="13566" width="24" customWidth="1"/>
    <col min="13567" max="13567" width="22.28515625" customWidth="1"/>
    <col min="13569" max="13569" width="10.140625" bestFit="1" customWidth="1"/>
    <col min="13570" max="13570" width="12.7109375" bestFit="1" customWidth="1"/>
    <col min="13571" max="13571" width="12.140625" bestFit="1" customWidth="1"/>
    <col min="13572" max="13572" width="24.42578125" bestFit="1" customWidth="1"/>
    <col min="13817" max="13817" width="30.42578125" bestFit="1" customWidth="1"/>
    <col min="13818" max="13818" width="12.140625" customWidth="1"/>
    <col min="13819" max="13819" width="29.140625" bestFit="1" customWidth="1"/>
    <col min="13820" max="13820" width="12.5703125" customWidth="1"/>
    <col min="13822" max="13822" width="24" customWidth="1"/>
    <col min="13823" max="13823" width="22.28515625" customWidth="1"/>
    <col min="13825" max="13825" width="10.140625" bestFit="1" customWidth="1"/>
    <col min="13826" max="13826" width="12.7109375" bestFit="1" customWidth="1"/>
    <col min="13827" max="13827" width="12.140625" bestFit="1" customWidth="1"/>
    <col min="13828" max="13828" width="24.42578125" bestFit="1" customWidth="1"/>
    <col min="14073" max="14073" width="30.42578125" bestFit="1" customWidth="1"/>
    <col min="14074" max="14074" width="12.140625" customWidth="1"/>
    <col min="14075" max="14075" width="29.140625" bestFit="1" customWidth="1"/>
    <col min="14076" max="14076" width="12.5703125" customWidth="1"/>
    <col min="14078" max="14078" width="24" customWidth="1"/>
    <col min="14079" max="14079" width="22.28515625" customWidth="1"/>
    <col min="14081" max="14081" width="10.140625" bestFit="1" customWidth="1"/>
    <col min="14082" max="14082" width="12.7109375" bestFit="1" customWidth="1"/>
    <col min="14083" max="14083" width="12.140625" bestFit="1" customWidth="1"/>
    <col min="14084" max="14084" width="24.42578125" bestFit="1" customWidth="1"/>
    <col min="14329" max="14329" width="30.42578125" bestFit="1" customWidth="1"/>
    <col min="14330" max="14330" width="12.140625" customWidth="1"/>
    <col min="14331" max="14331" width="29.140625" bestFit="1" customWidth="1"/>
    <col min="14332" max="14332" width="12.5703125" customWidth="1"/>
    <col min="14334" max="14334" width="24" customWidth="1"/>
    <col min="14335" max="14335" width="22.28515625" customWidth="1"/>
    <col min="14337" max="14337" width="10.140625" bestFit="1" customWidth="1"/>
    <col min="14338" max="14338" width="12.7109375" bestFit="1" customWidth="1"/>
    <col min="14339" max="14339" width="12.140625" bestFit="1" customWidth="1"/>
    <col min="14340" max="14340" width="24.42578125" bestFit="1" customWidth="1"/>
    <col min="14585" max="14585" width="30.42578125" bestFit="1" customWidth="1"/>
    <col min="14586" max="14586" width="12.140625" customWidth="1"/>
    <col min="14587" max="14587" width="29.140625" bestFit="1" customWidth="1"/>
    <col min="14588" max="14588" width="12.5703125" customWidth="1"/>
    <col min="14590" max="14590" width="24" customWidth="1"/>
    <col min="14591" max="14591" width="22.28515625" customWidth="1"/>
    <col min="14593" max="14593" width="10.140625" bestFit="1" customWidth="1"/>
    <col min="14594" max="14594" width="12.7109375" bestFit="1" customWidth="1"/>
    <col min="14595" max="14595" width="12.140625" bestFit="1" customWidth="1"/>
    <col min="14596" max="14596" width="24.42578125" bestFit="1" customWidth="1"/>
    <col min="14841" max="14841" width="30.42578125" bestFit="1" customWidth="1"/>
    <col min="14842" max="14842" width="12.140625" customWidth="1"/>
    <col min="14843" max="14843" width="29.140625" bestFit="1" customWidth="1"/>
    <col min="14844" max="14844" width="12.5703125" customWidth="1"/>
    <col min="14846" max="14846" width="24" customWidth="1"/>
    <col min="14847" max="14847" width="22.28515625" customWidth="1"/>
    <col min="14849" max="14849" width="10.140625" bestFit="1" customWidth="1"/>
    <col min="14850" max="14850" width="12.7109375" bestFit="1" customWidth="1"/>
    <col min="14851" max="14851" width="12.140625" bestFit="1" customWidth="1"/>
    <col min="14852" max="14852" width="24.42578125" bestFit="1" customWidth="1"/>
    <col min="15097" max="15097" width="30.42578125" bestFit="1" customWidth="1"/>
    <col min="15098" max="15098" width="12.140625" customWidth="1"/>
    <col min="15099" max="15099" width="29.140625" bestFit="1" customWidth="1"/>
    <col min="15100" max="15100" width="12.5703125" customWidth="1"/>
    <col min="15102" max="15102" width="24" customWidth="1"/>
    <col min="15103" max="15103" width="22.28515625" customWidth="1"/>
    <col min="15105" max="15105" width="10.140625" bestFit="1" customWidth="1"/>
    <col min="15106" max="15106" width="12.7109375" bestFit="1" customWidth="1"/>
    <col min="15107" max="15107" width="12.140625" bestFit="1" customWidth="1"/>
    <col min="15108" max="15108" width="24.42578125" bestFit="1" customWidth="1"/>
    <col min="15353" max="15353" width="30.42578125" bestFit="1" customWidth="1"/>
    <col min="15354" max="15354" width="12.140625" customWidth="1"/>
    <col min="15355" max="15355" width="29.140625" bestFit="1" customWidth="1"/>
    <col min="15356" max="15356" width="12.5703125" customWidth="1"/>
    <col min="15358" max="15358" width="24" customWidth="1"/>
    <col min="15359" max="15359" width="22.28515625" customWidth="1"/>
    <col min="15361" max="15361" width="10.140625" bestFit="1" customWidth="1"/>
    <col min="15362" max="15362" width="12.7109375" bestFit="1" customWidth="1"/>
    <col min="15363" max="15363" width="12.140625" bestFit="1" customWidth="1"/>
    <col min="15364" max="15364" width="24.42578125" bestFit="1" customWidth="1"/>
    <col min="15609" max="15609" width="30.42578125" bestFit="1" customWidth="1"/>
    <col min="15610" max="15610" width="12.140625" customWidth="1"/>
    <col min="15611" max="15611" width="29.140625" bestFit="1" customWidth="1"/>
    <col min="15612" max="15612" width="12.5703125" customWidth="1"/>
    <col min="15614" max="15614" width="24" customWidth="1"/>
    <col min="15615" max="15615" width="22.28515625" customWidth="1"/>
    <col min="15617" max="15617" width="10.140625" bestFit="1" customWidth="1"/>
    <col min="15618" max="15618" width="12.7109375" bestFit="1" customWidth="1"/>
    <col min="15619" max="15619" width="12.140625" bestFit="1" customWidth="1"/>
    <col min="15620" max="15620" width="24.42578125" bestFit="1" customWidth="1"/>
    <col min="15865" max="15865" width="30.42578125" bestFit="1" customWidth="1"/>
    <col min="15866" max="15866" width="12.140625" customWidth="1"/>
    <col min="15867" max="15867" width="29.140625" bestFit="1" customWidth="1"/>
    <col min="15868" max="15868" width="12.5703125" customWidth="1"/>
    <col min="15870" max="15870" width="24" customWidth="1"/>
    <col min="15871" max="15871" width="22.28515625" customWidth="1"/>
    <col min="15873" max="15873" width="10.140625" bestFit="1" customWidth="1"/>
    <col min="15874" max="15874" width="12.7109375" bestFit="1" customWidth="1"/>
    <col min="15875" max="15875" width="12.140625" bestFit="1" customWidth="1"/>
    <col min="15876" max="15876" width="24.42578125" bestFit="1" customWidth="1"/>
    <col min="16121" max="16121" width="30.42578125" bestFit="1" customWidth="1"/>
    <col min="16122" max="16122" width="12.140625" customWidth="1"/>
    <col min="16123" max="16123" width="29.140625" bestFit="1" customWidth="1"/>
    <col min="16124" max="16124" width="12.5703125" customWidth="1"/>
    <col min="16126" max="16126" width="24" customWidth="1"/>
    <col min="16127" max="16127" width="22.28515625" customWidth="1"/>
    <col min="16129" max="16129" width="10.140625" bestFit="1" customWidth="1"/>
    <col min="16130" max="16130" width="12.7109375" bestFit="1" customWidth="1"/>
    <col min="16131" max="16131" width="12.140625" bestFit="1" customWidth="1"/>
    <col min="16132" max="16132" width="24.42578125" bestFit="1" customWidth="1"/>
  </cols>
  <sheetData>
    <row r="1" spans="1:26" ht="15.75" customHeight="1" thickBot="1" x14ac:dyDescent="0.3">
      <c r="B1" s="123">
        <v>42278</v>
      </c>
      <c r="C1" s="123"/>
      <c r="D1" s="7"/>
      <c r="E1" s="124" t="s">
        <v>8</v>
      </c>
      <c r="F1" s="125"/>
      <c r="G1" s="125"/>
      <c r="H1" s="126"/>
      <c r="I1" s="127"/>
      <c r="J1" s="3">
        <v>30</v>
      </c>
      <c r="K1" s="3">
        <v>30</v>
      </c>
      <c r="L1" s="3">
        <v>30</v>
      </c>
      <c r="M1" s="3">
        <v>35</v>
      </c>
      <c r="N1" s="3">
        <v>30</v>
      </c>
      <c r="O1" s="3">
        <v>25</v>
      </c>
      <c r="P1" s="3">
        <v>25</v>
      </c>
      <c r="Q1" s="3">
        <v>30</v>
      </c>
      <c r="R1" s="3">
        <v>35</v>
      </c>
      <c r="S1" s="3">
        <v>35</v>
      </c>
      <c r="T1" s="3">
        <v>30</v>
      </c>
      <c r="U1" s="3">
        <v>35</v>
      </c>
      <c r="V1" s="3">
        <v>35</v>
      </c>
      <c r="W1" s="3">
        <v>30</v>
      </c>
      <c r="X1" s="3">
        <v>30</v>
      </c>
      <c r="Y1" s="129" t="s">
        <v>25</v>
      </c>
      <c r="Z1" s="25">
        <f ca="1">TODAY()</f>
        <v>45273</v>
      </c>
    </row>
    <row r="2" spans="1:26" ht="30" customHeight="1" x14ac:dyDescent="0.25">
      <c r="B2" s="131" t="s">
        <v>1</v>
      </c>
      <c r="C2" s="132"/>
      <c r="E2" s="35" t="s">
        <v>12</v>
      </c>
      <c r="F2" s="36" t="s">
        <v>9</v>
      </c>
      <c r="G2" s="36" t="s">
        <v>10</v>
      </c>
      <c r="H2" s="4" t="s">
        <v>11</v>
      </c>
      <c r="I2" s="128"/>
      <c r="J2" s="23" t="s">
        <v>22</v>
      </c>
      <c r="K2" s="23" t="s">
        <v>5</v>
      </c>
      <c r="L2" s="23" t="s">
        <v>13</v>
      </c>
      <c r="M2" s="23" t="s">
        <v>14</v>
      </c>
      <c r="N2" s="23" t="s">
        <v>15</v>
      </c>
      <c r="O2" s="23" t="s">
        <v>56</v>
      </c>
      <c r="P2" s="23" t="s">
        <v>55</v>
      </c>
      <c r="Q2" s="23" t="s">
        <v>23</v>
      </c>
      <c r="R2" s="23" t="s">
        <v>57</v>
      </c>
      <c r="S2" s="23" t="s">
        <v>26</v>
      </c>
      <c r="T2" s="23" t="s">
        <v>19</v>
      </c>
      <c r="U2" s="23" t="s">
        <v>20</v>
      </c>
      <c r="V2" s="23" t="s">
        <v>21</v>
      </c>
      <c r="W2" s="23" t="s">
        <v>36</v>
      </c>
      <c r="X2" s="23" t="s">
        <v>41</v>
      </c>
      <c r="Y2" s="130"/>
    </row>
    <row r="3" spans="1:26" ht="15.75" thickBot="1" x14ac:dyDescent="0.3">
      <c r="B3" s="49" t="s">
        <v>0</v>
      </c>
      <c r="C3" s="50" t="s">
        <v>2</v>
      </c>
      <c r="E3" s="32">
        <f>B1</f>
        <v>42278</v>
      </c>
      <c r="F3" s="71"/>
      <c r="G3" s="71"/>
      <c r="H3" s="72"/>
      <c r="I3" s="31">
        <f>E3</f>
        <v>42278</v>
      </c>
      <c r="J3" s="37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9"/>
      <c r="Y3" s="61">
        <f>SUM(J3:X3)</f>
        <v>0</v>
      </c>
    </row>
    <row r="4" spans="1:26" ht="15.75" thickBot="1" x14ac:dyDescent="0.3">
      <c r="B4" s="14" t="s">
        <v>3</v>
      </c>
      <c r="C4" s="15">
        <f>F34</f>
        <v>37630</v>
      </c>
      <c r="E4" s="32">
        <f>E3+1</f>
        <v>42279</v>
      </c>
      <c r="F4" s="71"/>
      <c r="G4" s="71"/>
      <c r="H4" s="72"/>
      <c r="I4" s="31">
        <f t="shared" ref="I4:I33" si="0">E4</f>
        <v>42279</v>
      </c>
      <c r="J4" s="40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2"/>
      <c r="Y4" s="62">
        <f>SUM(J4:X4)</f>
        <v>0</v>
      </c>
    </row>
    <row r="5" spans="1:26" ht="15" customHeight="1" thickBot="1" x14ac:dyDescent="0.3">
      <c r="A5" s="51"/>
      <c r="E5" s="32">
        <f t="shared" ref="E5:E33" si="1">E4+1</f>
        <v>42280</v>
      </c>
      <c r="F5" s="71">
        <f>1900</f>
        <v>1900</v>
      </c>
      <c r="G5" s="71"/>
      <c r="H5" s="72" t="s">
        <v>3</v>
      </c>
      <c r="I5" s="31">
        <f t="shared" si="0"/>
        <v>42280</v>
      </c>
      <c r="J5" s="40">
        <v>6</v>
      </c>
      <c r="K5" s="41">
        <v>7</v>
      </c>
      <c r="L5" s="41">
        <v>0</v>
      </c>
      <c r="M5" s="41">
        <v>13</v>
      </c>
      <c r="N5" s="41">
        <v>13</v>
      </c>
      <c r="O5" s="41">
        <v>5</v>
      </c>
      <c r="P5" s="41">
        <v>0</v>
      </c>
      <c r="Q5" s="41">
        <v>3</v>
      </c>
      <c r="R5" s="41">
        <v>0</v>
      </c>
      <c r="S5" s="41">
        <v>0</v>
      </c>
      <c r="T5" s="41">
        <v>2</v>
      </c>
      <c r="U5" s="41">
        <v>3</v>
      </c>
      <c r="V5" s="41">
        <v>6</v>
      </c>
      <c r="W5" s="41">
        <v>5</v>
      </c>
      <c r="X5" s="42">
        <v>14</v>
      </c>
      <c r="Y5" s="62">
        <f t="shared" ref="Y5:Y33" si="2">SUM(J5:X5)</f>
        <v>77</v>
      </c>
    </row>
    <row r="6" spans="1:26" ht="15" customHeight="1" x14ac:dyDescent="0.25">
      <c r="A6" s="139" t="s">
        <v>42</v>
      </c>
      <c r="B6" s="76" t="s">
        <v>7</v>
      </c>
      <c r="C6" s="11">
        <v>4000</v>
      </c>
      <c r="E6" s="32">
        <f t="shared" si="1"/>
        <v>42281</v>
      </c>
      <c r="F6" s="71"/>
      <c r="G6" s="71"/>
      <c r="H6" s="119"/>
      <c r="I6" s="31">
        <f t="shared" si="0"/>
        <v>42281</v>
      </c>
      <c r="J6" s="40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2"/>
      <c r="Y6" s="62">
        <f t="shared" si="2"/>
        <v>0</v>
      </c>
    </row>
    <row r="7" spans="1:26" x14ac:dyDescent="0.25">
      <c r="A7" s="140"/>
      <c r="B7" s="77" t="s">
        <v>43</v>
      </c>
      <c r="C7" s="12">
        <v>40</v>
      </c>
      <c r="E7" s="32">
        <f t="shared" si="1"/>
        <v>42282</v>
      </c>
      <c r="F7" s="71"/>
      <c r="G7" s="71"/>
      <c r="H7" s="72"/>
      <c r="I7" s="31">
        <f t="shared" si="0"/>
        <v>42282</v>
      </c>
      <c r="J7" s="40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2"/>
      <c r="Y7" s="62">
        <f t="shared" si="2"/>
        <v>0</v>
      </c>
    </row>
    <row r="8" spans="1:26" x14ac:dyDescent="0.25">
      <c r="A8" s="140"/>
      <c r="B8" s="77" t="s">
        <v>4</v>
      </c>
      <c r="C8" s="13">
        <f>(INDEX('[1]Кредит Сатурн'!$C:$C,MATCH(B1,'[1]Кредит Сатурн'!$A:$A,0)))</f>
        <v>2064</v>
      </c>
      <c r="E8" s="32">
        <f t="shared" si="1"/>
        <v>42283</v>
      </c>
      <c r="F8" s="71"/>
      <c r="G8" s="71"/>
      <c r="H8" s="72"/>
      <c r="I8" s="31">
        <f t="shared" si="0"/>
        <v>42283</v>
      </c>
      <c r="J8" s="40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2"/>
      <c r="Y8" s="62">
        <f t="shared" si="2"/>
        <v>0</v>
      </c>
    </row>
    <row r="9" spans="1:26" x14ac:dyDescent="0.25">
      <c r="A9" s="140"/>
      <c r="B9" s="77" t="s">
        <v>27</v>
      </c>
      <c r="C9" s="12">
        <f>'[2]Расход ингредиентов'!$D$230</f>
        <v>9800</v>
      </c>
      <c r="E9" s="32">
        <f t="shared" si="1"/>
        <v>42284</v>
      </c>
      <c r="F9" s="71"/>
      <c r="G9" s="71"/>
      <c r="H9" s="72"/>
      <c r="I9" s="31">
        <f t="shared" si="0"/>
        <v>42284</v>
      </c>
      <c r="J9" s="40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2"/>
      <c r="Y9" s="62">
        <f t="shared" si="2"/>
        <v>0</v>
      </c>
    </row>
    <row r="10" spans="1:26" x14ac:dyDescent="0.25">
      <c r="A10" s="140"/>
      <c r="B10" s="77" t="s">
        <v>44</v>
      </c>
      <c r="C10" s="12">
        <f>'[2]Расход ингредиентов'!$D$227</f>
        <v>0</v>
      </c>
      <c r="E10" s="32">
        <f t="shared" si="1"/>
        <v>42285</v>
      </c>
      <c r="F10" s="71"/>
      <c r="G10" s="71"/>
      <c r="H10" s="72"/>
      <c r="I10" s="31">
        <f t="shared" si="0"/>
        <v>42285</v>
      </c>
      <c r="J10" s="40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2"/>
      <c r="Y10" s="62">
        <f t="shared" si="2"/>
        <v>0</v>
      </c>
    </row>
    <row r="11" spans="1:26" x14ac:dyDescent="0.25">
      <c r="A11" s="140"/>
      <c r="B11" s="77" t="s">
        <v>38</v>
      </c>
      <c r="C11" s="12">
        <f>'[2]Расход ингредиентов'!$D$226</f>
        <v>-1330</v>
      </c>
      <c r="E11" s="32">
        <f t="shared" si="1"/>
        <v>42286</v>
      </c>
      <c r="F11" s="71"/>
      <c r="G11" s="71"/>
      <c r="H11" s="72"/>
      <c r="I11" s="31">
        <f t="shared" si="0"/>
        <v>42286</v>
      </c>
      <c r="J11" s="40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2"/>
      <c r="Y11" s="62">
        <f t="shared" si="2"/>
        <v>0</v>
      </c>
    </row>
    <row r="12" spans="1:26" x14ac:dyDescent="0.25">
      <c r="A12" s="140"/>
      <c r="B12" s="77" t="s">
        <v>39</v>
      </c>
      <c r="C12" s="12">
        <v>0</v>
      </c>
      <c r="E12" s="32">
        <f t="shared" si="1"/>
        <v>42287</v>
      </c>
      <c r="F12" s="71"/>
      <c r="G12" s="71"/>
      <c r="H12" s="72"/>
      <c r="I12" s="31">
        <f t="shared" si="0"/>
        <v>42287</v>
      </c>
      <c r="J12" s="40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2"/>
      <c r="Y12" s="62">
        <f t="shared" si="2"/>
        <v>0</v>
      </c>
    </row>
    <row r="13" spans="1:26" x14ac:dyDescent="0.25">
      <c r="A13" s="140"/>
      <c r="B13" s="77" t="s">
        <v>31</v>
      </c>
      <c r="C13" s="18">
        <v>3300</v>
      </c>
      <c r="E13" s="32">
        <f t="shared" si="1"/>
        <v>42288</v>
      </c>
      <c r="F13" s="71"/>
      <c r="G13" s="71"/>
      <c r="H13" s="72"/>
      <c r="I13" s="31">
        <f t="shared" si="0"/>
        <v>42288</v>
      </c>
      <c r="J13" s="40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2"/>
      <c r="Y13" s="62">
        <f t="shared" si="2"/>
        <v>0</v>
      </c>
    </row>
    <row r="14" spans="1:26" x14ac:dyDescent="0.25">
      <c r="A14" s="140"/>
      <c r="B14" s="77" t="s">
        <v>46</v>
      </c>
      <c r="C14" s="18">
        <v>1430</v>
      </c>
      <c r="E14" s="32">
        <f t="shared" si="1"/>
        <v>42289</v>
      </c>
      <c r="F14" s="71"/>
      <c r="G14" s="71"/>
      <c r="H14" s="72"/>
      <c r="I14" s="31">
        <f t="shared" si="0"/>
        <v>42289</v>
      </c>
      <c r="J14" s="40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2"/>
      <c r="Y14" s="62">
        <f t="shared" si="2"/>
        <v>0</v>
      </c>
    </row>
    <row r="15" spans="1:26" x14ac:dyDescent="0.25">
      <c r="A15" s="140"/>
      <c r="B15" s="77" t="s">
        <v>45</v>
      </c>
      <c r="C15" s="12">
        <f>G18+G23+G25+G30</f>
        <v>3400</v>
      </c>
      <c r="E15" s="32">
        <f t="shared" si="1"/>
        <v>42290</v>
      </c>
      <c r="F15" s="71"/>
      <c r="G15" s="71"/>
      <c r="H15" s="72"/>
      <c r="I15" s="31">
        <f t="shared" si="0"/>
        <v>42290</v>
      </c>
      <c r="J15" s="40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62">
        <f t="shared" si="2"/>
        <v>0</v>
      </c>
    </row>
    <row r="16" spans="1:26" ht="15.75" thickBot="1" x14ac:dyDescent="0.3">
      <c r="A16" s="141"/>
      <c r="B16" s="78" t="s">
        <v>47</v>
      </c>
      <c r="C16" s="53">
        <f>SUM(C6:C15)</f>
        <v>22704</v>
      </c>
      <c r="E16" s="32">
        <f t="shared" si="1"/>
        <v>42291</v>
      </c>
      <c r="F16" s="71"/>
      <c r="G16" s="71"/>
      <c r="H16" s="72"/>
      <c r="I16" s="31">
        <f t="shared" si="0"/>
        <v>42291</v>
      </c>
      <c r="J16" s="40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2"/>
      <c r="Y16" s="62">
        <f t="shared" si="2"/>
        <v>0</v>
      </c>
    </row>
    <row r="17" spans="1:25" ht="15.75" thickBot="1" x14ac:dyDescent="0.3">
      <c r="E17" s="32">
        <f t="shared" si="1"/>
        <v>42292</v>
      </c>
      <c r="F17" s="71"/>
      <c r="G17" s="71"/>
      <c r="H17" s="72"/>
      <c r="I17" s="31">
        <f t="shared" si="0"/>
        <v>42292</v>
      </c>
      <c r="J17" s="40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2"/>
      <c r="Y17" s="62">
        <f t="shared" si="2"/>
        <v>0</v>
      </c>
    </row>
    <row r="18" spans="1:25" ht="15.75" thickBot="1" x14ac:dyDescent="0.3">
      <c r="B18" s="16" t="s">
        <v>32</v>
      </c>
      <c r="C18" s="17">
        <f>C4-C16</f>
        <v>14926</v>
      </c>
      <c r="E18" s="32">
        <f t="shared" si="1"/>
        <v>42293</v>
      </c>
      <c r="F18" s="71"/>
      <c r="G18" s="71">
        <v>2000</v>
      </c>
      <c r="H18" s="72" t="s">
        <v>115</v>
      </c>
      <c r="I18" s="31">
        <f t="shared" si="0"/>
        <v>42293</v>
      </c>
      <c r="J18" s="40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2"/>
      <c r="Y18" s="62">
        <f t="shared" si="2"/>
        <v>0</v>
      </c>
    </row>
    <row r="19" spans="1:25" ht="15.75" thickBot="1" x14ac:dyDescent="0.3">
      <c r="E19" s="32">
        <f t="shared" si="1"/>
        <v>42294</v>
      </c>
      <c r="F19" s="71">
        <f>16280</f>
        <v>16280</v>
      </c>
      <c r="G19" s="71"/>
      <c r="H19" s="72" t="s">
        <v>3</v>
      </c>
      <c r="I19" s="31">
        <f t="shared" si="0"/>
        <v>42294</v>
      </c>
      <c r="J19" s="40">
        <v>33</v>
      </c>
      <c r="K19" s="41">
        <v>38</v>
      </c>
      <c r="L19" s="41">
        <v>13</v>
      </c>
      <c r="M19" s="41">
        <v>126</v>
      </c>
      <c r="N19" s="41">
        <v>84</v>
      </c>
      <c r="O19" s="41">
        <v>32</v>
      </c>
      <c r="P19" s="41">
        <v>18</v>
      </c>
      <c r="Q19" s="41">
        <v>46</v>
      </c>
      <c r="R19" s="41">
        <v>18</v>
      </c>
      <c r="S19" s="41">
        <v>56</v>
      </c>
      <c r="T19" s="41">
        <v>49</v>
      </c>
      <c r="U19" s="41">
        <v>35</v>
      </c>
      <c r="V19" s="41">
        <v>50</v>
      </c>
      <c r="W19" s="41">
        <v>13</v>
      </c>
      <c r="X19" s="42">
        <v>26</v>
      </c>
      <c r="Y19" s="62">
        <f t="shared" si="2"/>
        <v>637</v>
      </c>
    </row>
    <row r="20" spans="1:25" ht="15.75" thickBot="1" x14ac:dyDescent="0.3">
      <c r="B20" s="16" t="s">
        <v>48</v>
      </c>
      <c r="C20" s="17">
        <f>CEILING(C6+C8,100)</f>
        <v>6100</v>
      </c>
      <c r="E20" s="32">
        <f t="shared" si="1"/>
        <v>42295</v>
      </c>
      <c r="F20" s="71"/>
      <c r="G20" s="71"/>
      <c r="H20" s="120"/>
      <c r="I20" s="31">
        <f t="shared" si="0"/>
        <v>42295</v>
      </c>
      <c r="J20" s="40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2"/>
      <c r="Y20" s="62">
        <f t="shared" si="2"/>
        <v>0</v>
      </c>
    </row>
    <row r="21" spans="1:25" ht="15.75" thickBot="1" x14ac:dyDescent="0.3">
      <c r="E21" s="32">
        <f>E20+1</f>
        <v>42296</v>
      </c>
      <c r="F21" s="71"/>
      <c r="G21" s="71"/>
      <c r="H21" s="72"/>
      <c r="I21" s="31">
        <f t="shared" si="0"/>
        <v>42296</v>
      </c>
      <c r="J21" s="40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2"/>
      <c r="Y21" s="62">
        <f t="shared" si="2"/>
        <v>0</v>
      </c>
    </row>
    <row r="22" spans="1:25" ht="15.75" thickBot="1" x14ac:dyDescent="0.3">
      <c r="B22" s="52" t="s">
        <v>53</v>
      </c>
      <c r="C22" s="63">
        <f>C18</f>
        <v>14926</v>
      </c>
      <c r="E22" s="32">
        <f t="shared" si="1"/>
        <v>42297</v>
      </c>
      <c r="F22" s="71"/>
      <c r="G22" s="71"/>
      <c r="H22" s="72"/>
      <c r="I22" s="31">
        <f t="shared" si="0"/>
        <v>42297</v>
      </c>
      <c r="J22" s="40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2"/>
      <c r="Y22" s="62">
        <f t="shared" si="2"/>
        <v>0</v>
      </c>
    </row>
    <row r="23" spans="1:25" ht="15" customHeight="1" x14ac:dyDescent="0.25">
      <c r="A23" s="133" t="s">
        <v>49</v>
      </c>
      <c r="B23" s="58" t="s">
        <v>50</v>
      </c>
      <c r="C23" s="59">
        <v>0</v>
      </c>
      <c r="E23" s="32">
        <f t="shared" si="1"/>
        <v>42298</v>
      </c>
      <c r="F23" s="71"/>
      <c r="G23" s="71">
        <v>130</v>
      </c>
      <c r="H23" s="72" t="s">
        <v>74</v>
      </c>
      <c r="I23" s="31">
        <f t="shared" si="0"/>
        <v>42298</v>
      </c>
      <c r="J23" s="40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2"/>
      <c r="Y23" s="62">
        <f t="shared" si="2"/>
        <v>0</v>
      </c>
    </row>
    <row r="24" spans="1:25" x14ac:dyDescent="0.25">
      <c r="A24" s="134"/>
      <c r="B24" s="54" t="s">
        <v>40</v>
      </c>
      <c r="C24" s="55">
        <v>0</v>
      </c>
      <c r="E24" s="32">
        <f t="shared" si="1"/>
        <v>42299</v>
      </c>
      <c r="F24" s="71"/>
      <c r="G24" s="71"/>
      <c r="H24" s="72"/>
      <c r="I24" s="31">
        <f t="shared" si="0"/>
        <v>42299</v>
      </c>
      <c r="J24" s="40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2"/>
      <c r="Y24" s="62">
        <f t="shared" si="2"/>
        <v>0</v>
      </c>
    </row>
    <row r="25" spans="1:25" x14ac:dyDescent="0.25">
      <c r="A25" s="134"/>
      <c r="B25" s="54" t="s">
        <v>51</v>
      </c>
      <c r="C25" s="55">
        <v>0</v>
      </c>
      <c r="E25" s="32">
        <f t="shared" si="1"/>
        <v>42300</v>
      </c>
      <c r="F25" s="71"/>
      <c r="G25" s="71">
        <v>270</v>
      </c>
      <c r="H25" s="72" t="s">
        <v>116</v>
      </c>
      <c r="I25" s="31">
        <f t="shared" si="0"/>
        <v>42300</v>
      </c>
      <c r="J25" s="40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2"/>
      <c r="Y25" s="62">
        <f t="shared" si="2"/>
        <v>0</v>
      </c>
    </row>
    <row r="26" spans="1:25" ht="15.75" thickBot="1" x14ac:dyDescent="0.3">
      <c r="A26" s="134"/>
      <c r="B26" s="57" t="s">
        <v>52</v>
      </c>
      <c r="C26" s="56">
        <v>0</v>
      </c>
      <c r="E26" s="32">
        <f t="shared" si="1"/>
        <v>42301</v>
      </c>
      <c r="F26" s="71">
        <f>7990-60</f>
        <v>7930</v>
      </c>
      <c r="G26" s="71"/>
      <c r="H26" s="72" t="s">
        <v>3</v>
      </c>
      <c r="I26" s="31">
        <f t="shared" si="0"/>
        <v>42301</v>
      </c>
      <c r="J26" s="40">
        <v>15</v>
      </c>
      <c r="K26" s="41">
        <v>17</v>
      </c>
      <c r="L26" s="41">
        <v>2</v>
      </c>
      <c r="M26" s="41">
        <v>67</v>
      </c>
      <c r="N26" s="41">
        <v>40</v>
      </c>
      <c r="O26" s="41">
        <v>12</v>
      </c>
      <c r="P26" s="41">
        <v>11</v>
      </c>
      <c r="Q26" s="41">
        <v>21</v>
      </c>
      <c r="R26" s="41">
        <v>7</v>
      </c>
      <c r="S26" s="41">
        <v>25</v>
      </c>
      <c r="T26" s="41">
        <v>20</v>
      </c>
      <c r="U26" s="41">
        <v>6</v>
      </c>
      <c r="V26" s="41">
        <v>24</v>
      </c>
      <c r="W26" s="41">
        <v>17</v>
      </c>
      <c r="X26" s="42">
        <v>13</v>
      </c>
      <c r="Y26" s="62">
        <f t="shared" si="2"/>
        <v>297</v>
      </c>
    </row>
    <row r="27" spans="1:25" ht="15.75" thickBot="1" x14ac:dyDescent="0.3">
      <c r="A27" s="134"/>
      <c r="B27" s="52" t="s">
        <v>54</v>
      </c>
      <c r="C27" s="60">
        <f>C22-SUM(C23:C26)</f>
        <v>14926</v>
      </c>
      <c r="E27" s="32">
        <f t="shared" si="1"/>
        <v>42302</v>
      </c>
      <c r="F27" s="71"/>
      <c r="G27" s="71"/>
      <c r="H27" s="120"/>
      <c r="I27" s="31">
        <f t="shared" si="0"/>
        <v>42302</v>
      </c>
      <c r="J27" s="40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2"/>
      <c r="Y27" s="62">
        <f t="shared" si="2"/>
        <v>0</v>
      </c>
    </row>
    <row r="28" spans="1:25" ht="15.75" thickBot="1" x14ac:dyDescent="0.3">
      <c r="A28" s="135"/>
      <c r="B28" s="33"/>
      <c r="C28" s="34"/>
      <c r="E28" s="32">
        <f t="shared" si="1"/>
        <v>42303</v>
      </c>
      <c r="F28" s="71"/>
      <c r="G28" s="29"/>
      <c r="H28" s="72"/>
      <c r="I28" s="31">
        <f t="shared" si="0"/>
        <v>42303</v>
      </c>
      <c r="J28" s="40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2"/>
      <c r="Y28" s="62">
        <f t="shared" si="2"/>
        <v>0</v>
      </c>
    </row>
    <row r="29" spans="1:25" ht="15.75" thickBot="1" x14ac:dyDescent="0.3">
      <c r="B29" s="16" t="s">
        <v>28</v>
      </c>
      <c r="C29" s="17">
        <f>'10'!G35+'9'!C29</f>
        <v>326454</v>
      </c>
      <c r="E29" s="32">
        <f t="shared" si="1"/>
        <v>42304</v>
      </c>
      <c r="F29" s="71"/>
      <c r="G29" s="71"/>
      <c r="H29" s="72"/>
      <c r="I29" s="31">
        <f t="shared" si="0"/>
        <v>42304</v>
      </c>
      <c r="J29" s="40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2"/>
      <c r="Y29" s="62">
        <f t="shared" si="2"/>
        <v>0</v>
      </c>
    </row>
    <row r="30" spans="1:25" x14ac:dyDescent="0.25">
      <c r="B30" s="46"/>
      <c r="C30" s="47"/>
      <c r="E30" s="32">
        <f t="shared" si="1"/>
        <v>42305</v>
      </c>
      <c r="F30" s="29"/>
      <c r="G30" s="29">
        <v>1000</v>
      </c>
      <c r="H30" s="72" t="s">
        <v>118</v>
      </c>
      <c r="I30" s="31">
        <f t="shared" si="0"/>
        <v>42305</v>
      </c>
      <c r="J30" s="40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2"/>
      <c r="Y30" s="62">
        <f t="shared" si="2"/>
        <v>0</v>
      </c>
    </row>
    <row r="31" spans="1:25" x14ac:dyDescent="0.25">
      <c r="B31" s="43"/>
      <c r="C31" s="48"/>
      <c r="E31" s="32">
        <f t="shared" si="1"/>
        <v>42306</v>
      </c>
      <c r="F31" s="29"/>
      <c r="G31" s="29"/>
      <c r="H31" s="72"/>
      <c r="I31" s="31">
        <f t="shared" si="0"/>
        <v>42306</v>
      </c>
      <c r="J31" s="40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2"/>
      <c r="Y31" s="62">
        <f t="shared" si="2"/>
        <v>0</v>
      </c>
    </row>
    <row r="32" spans="1:25" x14ac:dyDescent="0.25">
      <c r="B32" s="43"/>
      <c r="C32" s="48"/>
      <c r="E32" s="32">
        <f t="shared" si="1"/>
        <v>42307</v>
      </c>
      <c r="F32" s="29">
        <v>5000</v>
      </c>
      <c r="G32" s="29"/>
      <c r="H32" s="72" t="s">
        <v>117</v>
      </c>
      <c r="I32" s="31">
        <f t="shared" si="0"/>
        <v>42307</v>
      </c>
      <c r="J32" s="40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2"/>
      <c r="Y32" s="62">
        <f t="shared" si="2"/>
        <v>0</v>
      </c>
    </row>
    <row r="33" spans="2:25" ht="15.75" thickBot="1" x14ac:dyDescent="0.3">
      <c r="B33" s="33"/>
      <c r="C33" s="34"/>
      <c r="E33" s="32">
        <f t="shared" si="1"/>
        <v>42308</v>
      </c>
      <c r="F33" s="29">
        <v>6520</v>
      </c>
      <c r="G33" s="29"/>
      <c r="H33" s="72" t="s">
        <v>3</v>
      </c>
      <c r="I33" s="31">
        <f t="shared" si="0"/>
        <v>42308</v>
      </c>
      <c r="J33" s="40">
        <v>11</v>
      </c>
      <c r="K33" s="41">
        <v>19</v>
      </c>
      <c r="L33" s="41">
        <v>2</v>
      </c>
      <c r="M33" s="41">
        <v>65</v>
      </c>
      <c r="N33" s="41">
        <v>36</v>
      </c>
      <c r="O33" s="41">
        <v>9</v>
      </c>
      <c r="P33" s="41">
        <v>2</v>
      </c>
      <c r="Q33" s="41">
        <v>56</v>
      </c>
      <c r="R33" s="41">
        <v>6</v>
      </c>
      <c r="S33" s="41">
        <v>4</v>
      </c>
      <c r="T33" s="41">
        <v>7</v>
      </c>
      <c r="U33" s="41">
        <v>11</v>
      </c>
      <c r="V33" s="41">
        <v>23</v>
      </c>
      <c r="W33" s="41">
        <v>12</v>
      </c>
      <c r="X33" s="42">
        <v>10</v>
      </c>
      <c r="Y33" s="62">
        <f t="shared" si="2"/>
        <v>273</v>
      </c>
    </row>
    <row r="34" spans="2:25" ht="15.75" thickBot="1" x14ac:dyDescent="0.3">
      <c r="B34" s="43"/>
      <c r="C34" s="48"/>
      <c r="E34" s="19" t="s">
        <v>6</v>
      </c>
      <c r="F34" s="6">
        <f>SUM(F3:F33)</f>
        <v>37630</v>
      </c>
      <c r="G34" s="6">
        <f>SUM(G3:G33)</f>
        <v>3400</v>
      </c>
      <c r="H34" s="2"/>
      <c r="I34" s="22" t="s">
        <v>33</v>
      </c>
      <c r="J34" s="24">
        <f t="shared" ref="J34:Y34" si="3">SUM(J3:J33)</f>
        <v>65</v>
      </c>
      <c r="K34" s="24">
        <f t="shared" si="3"/>
        <v>81</v>
      </c>
      <c r="L34" s="24">
        <f t="shared" si="3"/>
        <v>17</v>
      </c>
      <c r="M34" s="24">
        <f t="shared" si="3"/>
        <v>271</v>
      </c>
      <c r="N34" s="24">
        <f t="shared" si="3"/>
        <v>173</v>
      </c>
      <c r="O34" s="24">
        <f t="shared" si="3"/>
        <v>58</v>
      </c>
      <c r="P34" s="24">
        <f t="shared" si="3"/>
        <v>31</v>
      </c>
      <c r="Q34" s="24">
        <f t="shared" si="3"/>
        <v>126</v>
      </c>
      <c r="R34" s="24">
        <f t="shared" si="3"/>
        <v>31</v>
      </c>
      <c r="S34" s="24">
        <f t="shared" si="3"/>
        <v>85</v>
      </c>
      <c r="T34" s="24">
        <f t="shared" si="3"/>
        <v>78</v>
      </c>
      <c r="U34" s="24">
        <f t="shared" si="3"/>
        <v>55</v>
      </c>
      <c r="V34" s="24">
        <f t="shared" si="3"/>
        <v>103</v>
      </c>
      <c r="W34" s="24">
        <f t="shared" si="3"/>
        <v>47</v>
      </c>
      <c r="X34" s="24">
        <f t="shared" si="3"/>
        <v>63</v>
      </c>
      <c r="Y34" s="24">
        <f t="shared" si="3"/>
        <v>1284</v>
      </c>
    </row>
    <row r="35" spans="2:25" ht="15.75" thickBot="1" x14ac:dyDescent="0.3">
      <c r="B35" s="43"/>
      <c r="C35" s="48"/>
      <c r="E35" s="136" t="s">
        <v>37</v>
      </c>
      <c r="F35" s="137"/>
      <c r="G35" s="1">
        <f>F34-G34</f>
        <v>34230</v>
      </c>
      <c r="I35"/>
    </row>
    <row r="36" spans="2:25" ht="24" x14ac:dyDescent="0.25">
      <c r="B36" s="43"/>
      <c r="C36" s="48"/>
      <c r="J36" s="8" t="s">
        <v>22</v>
      </c>
      <c r="K36" s="8" t="s">
        <v>5</v>
      </c>
      <c r="L36" s="8" t="s">
        <v>13</v>
      </c>
      <c r="M36" s="8" t="s">
        <v>14</v>
      </c>
      <c r="N36" s="8" t="s">
        <v>15</v>
      </c>
      <c r="O36" s="8" t="s">
        <v>16</v>
      </c>
      <c r="P36" s="8" t="s">
        <v>17</v>
      </c>
      <c r="Q36" s="8" t="s">
        <v>23</v>
      </c>
      <c r="R36" s="8" t="s">
        <v>24</v>
      </c>
      <c r="S36" s="8" t="s">
        <v>26</v>
      </c>
      <c r="T36" s="8" t="s">
        <v>19</v>
      </c>
      <c r="U36" s="8" t="s">
        <v>20</v>
      </c>
      <c r="V36" s="8" t="s">
        <v>21</v>
      </c>
      <c r="W36" s="8" t="s">
        <v>36</v>
      </c>
      <c r="X36" s="8" t="s">
        <v>18</v>
      </c>
    </row>
    <row r="37" spans="2:25" ht="15.75" thickBot="1" x14ac:dyDescent="0.3">
      <c r="B37" s="43"/>
      <c r="C37" s="48"/>
      <c r="J37" s="9">
        <f>J34</f>
        <v>65</v>
      </c>
      <c r="K37" s="9">
        <f t="shared" ref="K37:X37" si="4">K34</f>
        <v>81</v>
      </c>
      <c r="L37" s="9">
        <f t="shared" si="4"/>
        <v>17</v>
      </c>
      <c r="M37" s="9">
        <f t="shared" si="4"/>
        <v>271</v>
      </c>
      <c r="N37" s="9">
        <f t="shared" si="4"/>
        <v>173</v>
      </c>
      <c r="O37" s="9">
        <f t="shared" si="4"/>
        <v>58</v>
      </c>
      <c r="P37" s="9">
        <f t="shared" si="4"/>
        <v>31</v>
      </c>
      <c r="Q37" s="9">
        <f t="shared" si="4"/>
        <v>126</v>
      </c>
      <c r="R37" s="9">
        <f t="shared" si="4"/>
        <v>31</v>
      </c>
      <c r="S37" s="9">
        <f t="shared" si="4"/>
        <v>85</v>
      </c>
      <c r="T37" s="9">
        <f t="shared" si="4"/>
        <v>78</v>
      </c>
      <c r="U37" s="9">
        <f t="shared" si="4"/>
        <v>55</v>
      </c>
      <c r="V37" s="9">
        <f t="shared" si="4"/>
        <v>103</v>
      </c>
      <c r="W37" s="9">
        <f t="shared" si="4"/>
        <v>47</v>
      </c>
      <c r="X37" s="9">
        <f t="shared" si="4"/>
        <v>63</v>
      </c>
    </row>
    <row r="38" spans="2:25" x14ac:dyDescent="0.25">
      <c r="B38" s="45"/>
      <c r="C38" s="45"/>
      <c r="I38" s="21"/>
      <c r="J38" s="10">
        <f>J34*'[3]Себестоимость '!D17</f>
        <v>605.04166666666663</v>
      </c>
      <c r="K38" s="10">
        <f>K34*'[3]Себестоимость '!E17</f>
        <v>671.76</v>
      </c>
      <c r="L38" s="10">
        <f>L34*'[3]Себестоимость '!F17</f>
        <v>150.93166666666667</v>
      </c>
      <c r="M38" s="10">
        <f>M34*'[3]Себестоимость '!G17</f>
        <v>2602.5033333333331</v>
      </c>
      <c r="N38" s="10">
        <f>N34*'[3]Себестоимость '!H17</f>
        <v>1576.4336666666663</v>
      </c>
      <c r="O38" s="10">
        <f>O34*'[3]Себестоимость '!I17</f>
        <v>210.15333333333334</v>
      </c>
      <c r="P38" s="10" t="e">
        <f>P34*'[3]Себестоимость '!J17</f>
        <v>#REF!</v>
      </c>
      <c r="Q38" s="10">
        <f>Q34*'[3]Себестоимость '!K17</f>
        <v>405.71999999999997</v>
      </c>
      <c r="R38" s="10">
        <f>R34*'[3]Себестоимость '!L17</f>
        <v>140.43</v>
      </c>
      <c r="S38" s="10">
        <f>S34*'[3]Себестоимость '!M17</f>
        <v>291.29500000000002</v>
      </c>
      <c r="T38" s="10">
        <f>T34*'[3]Себестоимость '!N17</f>
        <v>288.99</v>
      </c>
      <c r="U38" s="10">
        <f>U34*'[3]Себестоимость '!O17</f>
        <v>281.32499999999999</v>
      </c>
      <c r="V38" s="10">
        <f>V34*'[3]Себестоимость '!P17</f>
        <v>456.28999999999996</v>
      </c>
      <c r="W38" s="10">
        <f>W34*'[3]Себестоимость '!Q17</f>
        <v>228.65499999999997</v>
      </c>
      <c r="X38" s="10">
        <f>X34*'[3]Себестоимость '!R17</f>
        <v>297.67499999999995</v>
      </c>
      <c r="Y38" s="73" t="s">
        <v>30</v>
      </c>
    </row>
    <row r="39" spans="2:25" ht="15.75" thickBot="1" x14ac:dyDescent="0.3">
      <c r="B39" s="138"/>
      <c r="C39" s="138"/>
      <c r="Y39" s="74" t="s">
        <v>29</v>
      </c>
    </row>
    <row r="40" spans="2:25" x14ac:dyDescent="0.25">
      <c r="B40" s="46"/>
      <c r="C40" s="47"/>
    </row>
    <row r="41" spans="2:25" x14ac:dyDescent="0.25">
      <c r="B41" s="43"/>
      <c r="C41" s="48"/>
    </row>
    <row r="42" spans="2:25" x14ac:dyDescent="0.25">
      <c r="B42" s="45"/>
      <c r="C42" s="45"/>
    </row>
    <row r="43" spans="2:25" x14ac:dyDescent="0.25">
      <c r="B43" s="138"/>
      <c r="C43" s="138"/>
    </row>
    <row r="44" spans="2:25" x14ac:dyDescent="0.25">
      <c r="B44" s="33"/>
      <c r="C44" s="34"/>
    </row>
    <row r="45" spans="2:25" x14ac:dyDescent="0.25">
      <c r="B45" s="43"/>
      <c r="C45" s="44"/>
    </row>
  </sheetData>
  <mergeCells count="10">
    <mergeCell ref="A23:A28"/>
    <mergeCell ref="E35:F35"/>
    <mergeCell ref="B39:C39"/>
    <mergeCell ref="B43:C43"/>
    <mergeCell ref="A6:A16"/>
    <mergeCell ref="B1:C1"/>
    <mergeCell ref="E1:H1"/>
    <mergeCell ref="I1:I2"/>
    <mergeCell ref="Y1:Y2"/>
    <mergeCell ref="B2:C2"/>
  </mergeCells>
  <conditionalFormatting sqref="Y3:Y33">
    <cfRule type="cellIs" dxfId="21" priority="6" operator="equal">
      <formula>0</formula>
    </cfRule>
  </conditionalFormatting>
  <conditionalFormatting sqref="E3:E33">
    <cfRule type="cellIs" dxfId="20" priority="5" operator="equal">
      <formula>$Z$1</formula>
    </cfRule>
  </conditionalFormatting>
  <conditionalFormatting sqref="I3:I33">
    <cfRule type="cellIs" dxfId="19" priority="4" operator="equal">
      <formula>$Z$1</formula>
    </cfRule>
  </conditionalFormatting>
  <conditionalFormatting sqref="I34">
    <cfRule type="expression" dxfId="18" priority="3">
      <formula>$E$3:$E$32=TODAY()</formula>
    </cfRule>
  </conditionalFormatting>
  <conditionalFormatting sqref="I34">
    <cfRule type="cellIs" dxfId="17" priority="2" operator="equal">
      <formula>$Z$1</formula>
    </cfRule>
  </conditionalFormatting>
  <conditionalFormatting sqref="E28:F28 I28:Y28 E3:Y27 E29:Y33">
    <cfRule type="expression" dxfId="16" priority="7">
      <formula>$E3=$Z$1</formula>
    </cfRule>
  </conditionalFormatting>
  <conditionalFormatting sqref="G28:H28">
    <cfRule type="expression" dxfId="15" priority="1">
      <formula>$E28=$Z$1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Z45"/>
  <sheetViews>
    <sheetView zoomScale="85" zoomScaleNormal="85" workbookViewId="0">
      <pane ySplit="2" topLeftCell="A12" activePane="bottomLeft" state="frozen"/>
      <selection activeCell="C15" sqref="C15"/>
      <selection pane="bottomLeft" activeCell="F26" sqref="F26"/>
    </sheetView>
  </sheetViews>
  <sheetFormatPr defaultRowHeight="15" x14ac:dyDescent="0.25"/>
  <cols>
    <col min="1" max="1" width="6.5703125" customWidth="1"/>
    <col min="2" max="2" width="30.42578125" bestFit="1" customWidth="1"/>
    <col min="3" max="3" width="15.28515625" customWidth="1"/>
    <col min="5" max="5" width="8.42578125" bestFit="1" customWidth="1"/>
    <col min="6" max="6" width="12.7109375" bestFit="1" customWidth="1"/>
    <col min="7" max="7" width="12.140625" bestFit="1" customWidth="1"/>
    <col min="8" max="8" width="48.42578125" bestFit="1" customWidth="1"/>
    <col min="9" max="9" width="8.7109375" style="20" bestFit="1" customWidth="1"/>
    <col min="10" max="10" width="12.28515625" customWidth="1"/>
    <col min="11" max="11" width="11.28515625" customWidth="1"/>
    <col min="12" max="12" width="10.140625" customWidth="1"/>
    <col min="13" max="16" width="9.28515625" bestFit="1" customWidth="1"/>
    <col min="17" max="17" width="9.85546875" bestFit="1" customWidth="1"/>
    <col min="18" max="22" width="9.28515625" bestFit="1" customWidth="1"/>
    <col min="23" max="23" width="11" customWidth="1"/>
    <col min="24" max="24" width="10.5703125" bestFit="1" customWidth="1"/>
    <col min="25" max="25" width="9.7109375" style="5" customWidth="1"/>
    <col min="26" max="26" width="10.28515625" bestFit="1" customWidth="1"/>
    <col min="249" max="249" width="30.42578125" bestFit="1" customWidth="1"/>
    <col min="250" max="250" width="12.140625" customWidth="1"/>
    <col min="251" max="251" width="29.140625" bestFit="1" customWidth="1"/>
    <col min="252" max="252" width="12.5703125" customWidth="1"/>
    <col min="254" max="254" width="24" customWidth="1"/>
    <col min="255" max="255" width="22.28515625" customWidth="1"/>
    <col min="257" max="257" width="10.140625" bestFit="1" customWidth="1"/>
    <col min="258" max="258" width="12.7109375" bestFit="1" customWidth="1"/>
    <col min="259" max="259" width="12.140625" bestFit="1" customWidth="1"/>
    <col min="260" max="260" width="24.42578125" bestFit="1" customWidth="1"/>
    <col min="505" max="505" width="30.42578125" bestFit="1" customWidth="1"/>
    <col min="506" max="506" width="12.140625" customWidth="1"/>
    <col min="507" max="507" width="29.140625" bestFit="1" customWidth="1"/>
    <col min="508" max="508" width="12.5703125" customWidth="1"/>
    <col min="510" max="510" width="24" customWidth="1"/>
    <col min="511" max="511" width="22.28515625" customWidth="1"/>
    <col min="513" max="513" width="10.140625" bestFit="1" customWidth="1"/>
    <col min="514" max="514" width="12.7109375" bestFit="1" customWidth="1"/>
    <col min="515" max="515" width="12.140625" bestFit="1" customWidth="1"/>
    <col min="516" max="516" width="24.42578125" bestFit="1" customWidth="1"/>
    <col min="761" max="761" width="30.42578125" bestFit="1" customWidth="1"/>
    <col min="762" max="762" width="12.140625" customWidth="1"/>
    <col min="763" max="763" width="29.140625" bestFit="1" customWidth="1"/>
    <col min="764" max="764" width="12.5703125" customWidth="1"/>
    <col min="766" max="766" width="24" customWidth="1"/>
    <col min="767" max="767" width="22.28515625" customWidth="1"/>
    <col min="769" max="769" width="10.140625" bestFit="1" customWidth="1"/>
    <col min="770" max="770" width="12.7109375" bestFit="1" customWidth="1"/>
    <col min="771" max="771" width="12.140625" bestFit="1" customWidth="1"/>
    <col min="772" max="772" width="24.42578125" bestFit="1" customWidth="1"/>
    <col min="1017" max="1017" width="30.42578125" bestFit="1" customWidth="1"/>
    <col min="1018" max="1018" width="12.140625" customWidth="1"/>
    <col min="1019" max="1019" width="29.140625" bestFit="1" customWidth="1"/>
    <col min="1020" max="1020" width="12.5703125" customWidth="1"/>
    <col min="1022" max="1022" width="24" customWidth="1"/>
    <col min="1023" max="1023" width="22.28515625" customWidth="1"/>
    <col min="1025" max="1025" width="10.140625" bestFit="1" customWidth="1"/>
    <col min="1026" max="1026" width="12.7109375" bestFit="1" customWidth="1"/>
    <col min="1027" max="1027" width="12.140625" bestFit="1" customWidth="1"/>
    <col min="1028" max="1028" width="24.42578125" bestFit="1" customWidth="1"/>
    <col min="1273" max="1273" width="30.42578125" bestFit="1" customWidth="1"/>
    <col min="1274" max="1274" width="12.140625" customWidth="1"/>
    <col min="1275" max="1275" width="29.140625" bestFit="1" customWidth="1"/>
    <col min="1276" max="1276" width="12.5703125" customWidth="1"/>
    <col min="1278" max="1278" width="24" customWidth="1"/>
    <col min="1279" max="1279" width="22.28515625" customWidth="1"/>
    <col min="1281" max="1281" width="10.140625" bestFit="1" customWidth="1"/>
    <col min="1282" max="1282" width="12.7109375" bestFit="1" customWidth="1"/>
    <col min="1283" max="1283" width="12.140625" bestFit="1" customWidth="1"/>
    <col min="1284" max="1284" width="24.42578125" bestFit="1" customWidth="1"/>
    <col min="1529" max="1529" width="30.42578125" bestFit="1" customWidth="1"/>
    <col min="1530" max="1530" width="12.140625" customWidth="1"/>
    <col min="1531" max="1531" width="29.140625" bestFit="1" customWidth="1"/>
    <col min="1532" max="1532" width="12.5703125" customWidth="1"/>
    <col min="1534" max="1534" width="24" customWidth="1"/>
    <col min="1535" max="1535" width="22.28515625" customWidth="1"/>
    <col min="1537" max="1537" width="10.140625" bestFit="1" customWidth="1"/>
    <col min="1538" max="1538" width="12.7109375" bestFit="1" customWidth="1"/>
    <col min="1539" max="1539" width="12.140625" bestFit="1" customWidth="1"/>
    <col min="1540" max="1540" width="24.42578125" bestFit="1" customWidth="1"/>
    <col min="1785" max="1785" width="30.42578125" bestFit="1" customWidth="1"/>
    <col min="1786" max="1786" width="12.140625" customWidth="1"/>
    <col min="1787" max="1787" width="29.140625" bestFit="1" customWidth="1"/>
    <col min="1788" max="1788" width="12.5703125" customWidth="1"/>
    <col min="1790" max="1790" width="24" customWidth="1"/>
    <col min="1791" max="1791" width="22.28515625" customWidth="1"/>
    <col min="1793" max="1793" width="10.140625" bestFit="1" customWidth="1"/>
    <col min="1794" max="1794" width="12.7109375" bestFit="1" customWidth="1"/>
    <col min="1795" max="1795" width="12.140625" bestFit="1" customWidth="1"/>
    <col min="1796" max="1796" width="24.42578125" bestFit="1" customWidth="1"/>
    <col min="2041" max="2041" width="30.42578125" bestFit="1" customWidth="1"/>
    <col min="2042" max="2042" width="12.140625" customWidth="1"/>
    <col min="2043" max="2043" width="29.140625" bestFit="1" customWidth="1"/>
    <col min="2044" max="2044" width="12.5703125" customWidth="1"/>
    <col min="2046" max="2046" width="24" customWidth="1"/>
    <col min="2047" max="2047" width="22.28515625" customWidth="1"/>
    <col min="2049" max="2049" width="10.140625" bestFit="1" customWidth="1"/>
    <col min="2050" max="2050" width="12.7109375" bestFit="1" customWidth="1"/>
    <col min="2051" max="2051" width="12.140625" bestFit="1" customWidth="1"/>
    <col min="2052" max="2052" width="24.42578125" bestFit="1" customWidth="1"/>
    <col min="2297" max="2297" width="30.42578125" bestFit="1" customWidth="1"/>
    <col min="2298" max="2298" width="12.140625" customWidth="1"/>
    <col min="2299" max="2299" width="29.140625" bestFit="1" customWidth="1"/>
    <col min="2300" max="2300" width="12.5703125" customWidth="1"/>
    <col min="2302" max="2302" width="24" customWidth="1"/>
    <col min="2303" max="2303" width="22.28515625" customWidth="1"/>
    <col min="2305" max="2305" width="10.140625" bestFit="1" customWidth="1"/>
    <col min="2306" max="2306" width="12.7109375" bestFit="1" customWidth="1"/>
    <col min="2307" max="2307" width="12.140625" bestFit="1" customWidth="1"/>
    <col min="2308" max="2308" width="24.42578125" bestFit="1" customWidth="1"/>
    <col min="2553" max="2553" width="30.42578125" bestFit="1" customWidth="1"/>
    <col min="2554" max="2554" width="12.140625" customWidth="1"/>
    <col min="2555" max="2555" width="29.140625" bestFit="1" customWidth="1"/>
    <col min="2556" max="2556" width="12.5703125" customWidth="1"/>
    <col min="2558" max="2558" width="24" customWidth="1"/>
    <col min="2559" max="2559" width="22.28515625" customWidth="1"/>
    <col min="2561" max="2561" width="10.140625" bestFit="1" customWidth="1"/>
    <col min="2562" max="2562" width="12.7109375" bestFit="1" customWidth="1"/>
    <col min="2563" max="2563" width="12.140625" bestFit="1" customWidth="1"/>
    <col min="2564" max="2564" width="24.42578125" bestFit="1" customWidth="1"/>
    <col min="2809" max="2809" width="30.42578125" bestFit="1" customWidth="1"/>
    <col min="2810" max="2810" width="12.140625" customWidth="1"/>
    <col min="2811" max="2811" width="29.140625" bestFit="1" customWidth="1"/>
    <col min="2812" max="2812" width="12.5703125" customWidth="1"/>
    <col min="2814" max="2814" width="24" customWidth="1"/>
    <col min="2815" max="2815" width="22.28515625" customWidth="1"/>
    <col min="2817" max="2817" width="10.140625" bestFit="1" customWidth="1"/>
    <col min="2818" max="2818" width="12.7109375" bestFit="1" customWidth="1"/>
    <col min="2819" max="2819" width="12.140625" bestFit="1" customWidth="1"/>
    <col min="2820" max="2820" width="24.42578125" bestFit="1" customWidth="1"/>
    <col min="3065" max="3065" width="30.42578125" bestFit="1" customWidth="1"/>
    <col min="3066" max="3066" width="12.140625" customWidth="1"/>
    <col min="3067" max="3067" width="29.140625" bestFit="1" customWidth="1"/>
    <col min="3068" max="3068" width="12.5703125" customWidth="1"/>
    <col min="3070" max="3070" width="24" customWidth="1"/>
    <col min="3071" max="3071" width="22.28515625" customWidth="1"/>
    <col min="3073" max="3073" width="10.140625" bestFit="1" customWidth="1"/>
    <col min="3074" max="3074" width="12.7109375" bestFit="1" customWidth="1"/>
    <col min="3075" max="3075" width="12.140625" bestFit="1" customWidth="1"/>
    <col min="3076" max="3076" width="24.42578125" bestFit="1" customWidth="1"/>
    <col min="3321" max="3321" width="30.42578125" bestFit="1" customWidth="1"/>
    <col min="3322" max="3322" width="12.140625" customWidth="1"/>
    <col min="3323" max="3323" width="29.140625" bestFit="1" customWidth="1"/>
    <col min="3324" max="3324" width="12.5703125" customWidth="1"/>
    <col min="3326" max="3326" width="24" customWidth="1"/>
    <col min="3327" max="3327" width="22.28515625" customWidth="1"/>
    <col min="3329" max="3329" width="10.140625" bestFit="1" customWidth="1"/>
    <col min="3330" max="3330" width="12.7109375" bestFit="1" customWidth="1"/>
    <col min="3331" max="3331" width="12.140625" bestFit="1" customWidth="1"/>
    <col min="3332" max="3332" width="24.42578125" bestFit="1" customWidth="1"/>
    <col min="3577" max="3577" width="30.42578125" bestFit="1" customWidth="1"/>
    <col min="3578" max="3578" width="12.140625" customWidth="1"/>
    <col min="3579" max="3579" width="29.140625" bestFit="1" customWidth="1"/>
    <col min="3580" max="3580" width="12.5703125" customWidth="1"/>
    <col min="3582" max="3582" width="24" customWidth="1"/>
    <col min="3583" max="3583" width="22.28515625" customWidth="1"/>
    <col min="3585" max="3585" width="10.140625" bestFit="1" customWidth="1"/>
    <col min="3586" max="3586" width="12.7109375" bestFit="1" customWidth="1"/>
    <col min="3587" max="3587" width="12.140625" bestFit="1" customWidth="1"/>
    <col min="3588" max="3588" width="24.42578125" bestFit="1" customWidth="1"/>
    <col min="3833" max="3833" width="30.42578125" bestFit="1" customWidth="1"/>
    <col min="3834" max="3834" width="12.140625" customWidth="1"/>
    <col min="3835" max="3835" width="29.140625" bestFit="1" customWidth="1"/>
    <col min="3836" max="3836" width="12.5703125" customWidth="1"/>
    <col min="3838" max="3838" width="24" customWidth="1"/>
    <col min="3839" max="3839" width="22.28515625" customWidth="1"/>
    <col min="3841" max="3841" width="10.140625" bestFit="1" customWidth="1"/>
    <col min="3842" max="3842" width="12.7109375" bestFit="1" customWidth="1"/>
    <col min="3843" max="3843" width="12.140625" bestFit="1" customWidth="1"/>
    <col min="3844" max="3844" width="24.42578125" bestFit="1" customWidth="1"/>
    <col min="4089" max="4089" width="30.42578125" bestFit="1" customWidth="1"/>
    <col min="4090" max="4090" width="12.140625" customWidth="1"/>
    <col min="4091" max="4091" width="29.140625" bestFit="1" customWidth="1"/>
    <col min="4092" max="4092" width="12.5703125" customWidth="1"/>
    <col min="4094" max="4094" width="24" customWidth="1"/>
    <col min="4095" max="4095" width="22.28515625" customWidth="1"/>
    <col min="4097" max="4097" width="10.140625" bestFit="1" customWidth="1"/>
    <col min="4098" max="4098" width="12.7109375" bestFit="1" customWidth="1"/>
    <col min="4099" max="4099" width="12.140625" bestFit="1" customWidth="1"/>
    <col min="4100" max="4100" width="24.42578125" bestFit="1" customWidth="1"/>
    <col min="4345" max="4345" width="30.42578125" bestFit="1" customWidth="1"/>
    <col min="4346" max="4346" width="12.140625" customWidth="1"/>
    <col min="4347" max="4347" width="29.140625" bestFit="1" customWidth="1"/>
    <col min="4348" max="4348" width="12.5703125" customWidth="1"/>
    <col min="4350" max="4350" width="24" customWidth="1"/>
    <col min="4351" max="4351" width="22.28515625" customWidth="1"/>
    <col min="4353" max="4353" width="10.140625" bestFit="1" customWidth="1"/>
    <col min="4354" max="4354" width="12.7109375" bestFit="1" customWidth="1"/>
    <col min="4355" max="4355" width="12.140625" bestFit="1" customWidth="1"/>
    <col min="4356" max="4356" width="24.42578125" bestFit="1" customWidth="1"/>
    <col min="4601" max="4601" width="30.42578125" bestFit="1" customWidth="1"/>
    <col min="4602" max="4602" width="12.140625" customWidth="1"/>
    <col min="4603" max="4603" width="29.140625" bestFit="1" customWidth="1"/>
    <col min="4604" max="4604" width="12.5703125" customWidth="1"/>
    <col min="4606" max="4606" width="24" customWidth="1"/>
    <col min="4607" max="4607" width="22.28515625" customWidth="1"/>
    <col min="4609" max="4609" width="10.140625" bestFit="1" customWidth="1"/>
    <col min="4610" max="4610" width="12.7109375" bestFit="1" customWidth="1"/>
    <col min="4611" max="4611" width="12.140625" bestFit="1" customWidth="1"/>
    <col min="4612" max="4612" width="24.42578125" bestFit="1" customWidth="1"/>
    <col min="4857" max="4857" width="30.42578125" bestFit="1" customWidth="1"/>
    <col min="4858" max="4858" width="12.140625" customWidth="1"/>
    <col min="4859" max="4859" width="29.140625" bestFit="1" customWidth="1"/>
    <col min="4860" max="4860" width="12.5703125" customWidth="1"/>
    <col min="4862" max="4862" width="24" customWidth="1"/>
    <col min="4863" max="4863" width="22.28515625" customWidth="1"/>
    <col min="4865" max="4865" width="10.140625" bestFit="1" customWidth="1"/>
    <col min="4866" max="4866" width="12.7109375" bestFit="1" customWidth="1"/>
    <col min="4867" max="4867" width="12.140625" bestFit="1" customWidth="1"/>
    <col min="4868" max="4868" width="24.42578125" bestFit="1" customWidth="1"/>
    <col min="5113" max="5113" width="30.42578125" bestFit="1" customWidth="1"/>
    <col min="5114" max="5114" width="12.140625" customWidth="1"/>
    <col min="5115" max="5115" width="29.140625" bestFit="1" customWidth="1"/>
    <col min="5116" max="5116" width="12.5703125" customWidth="1"/>
    <col min="5118" max="5118" width="24" customWidth="1"/>
    <col min="5119" max="5119" width="22.28515625" customWidth="1"/>
    <col min="5121" max="5121" width="10.140625" bestFit="1" customWidth="1"/>
    <col min="5122" max="5122" width="12.7109375" bestFit="1" customWidth="1"/>
    <col min="5123" max="5123" width="12.140625" bestFit="1" customWidth="1"/>
    <col min="5124" max="5124" width="24.42578125" bestFit="1" customWidth="1"/>
    <col min="5369" max="5369" width="30.42578125" bestFit="1" customWidth="1"/>
    <col min="5370" max="5370" width="12.140625" customWidth="1"/>
    <col min="5371" max="5371" width="29.140625" bestFit="1" customWidth="1"/>
    <col min="5372" max="5372" width="12.5703125" customWidth="1"/>
    <col min="5374" max="5374" width="24" customWidth="1"/>
    <col min="5375" max="5375" width="22.28515625" customWidth="1"/>
    <col min="5377" max="5377" width="10.140625" bestFit="1" customWidth="1"/>
    <col min="5378" max="5378" width="12.7109375" bestFit="1" customWidth="1"/>
    <col min="5379" max="5379" width="12.140625" bestFit="1" customWidth="1"/>
    <col min="5380" max="5380" width="24.42578125" bestFit="1" customWidth="1"/>
    <col min="5625" max="5625" width="30.42578125" bestFit="1" customWidth="1"/>
    <col min="5626" max="5626" width="12.140625" customWidth="1"/>
    <col min="5627" max="5627" width="29.140625" bestFit="1" customWidth="1"/>
    <col min="5628" max="5628" width="12.5703125" customWidth="1"/>
    <col min="5630" max="5630" width="24" customWidth="1"/>
    <col min="5631" max="5631" width="22.28515625" customWidth="1"/>
    <col min="5633" max="5633" width="10.140625" bestFit="1" customWidth="1"/>
    <col min="5634" max="5634" width="12.7109375" bestFit="1" customWidth="1"/>
    <col min="5635" max="5635" width="12.140625" bestFit="1" customWidth="1"/>
    <col min="5636" max="5636" width="24.42578125" bestFit="1" customWidth="1"/>
    <col min="5881" max="5881" width="30.42578125" bestFit="1" customWidth="1"/>
    <col min="5882" max="5882" width="12.140625" customWidth="1"/>
    <col min="5883" max="5883" width="29.140625" bestFit="1" customWidth="1"/>
    <col min="5884" max="5884" width="12.5703125" customWidth="1"/>
    <col min="5886" max="5886" width="24" customWidth="1"/>
    <col min="5887" max="5887" width="22.28515625" customWidth="1"/>
    <col min="5889" max="5889" width="10.140625" bestFit="1" customWidth="1"/>
    <col min="5890" max="5890" width="12.7109375" bestFit="1" customWidth="1"/>
    <col min="5891" max="5891" width="12.140625" bestFit="1" customWidth="1"/>
    <col min="5892" max="5892" width="24.42578125" bestFit="1" customWidth="1"/>
    <col min="6137" max="6137" width="30.42578125" bestFit="1" customWidth="1"/>
    <col min="6138" max="6138" width="12.140625" customWidth="1"/>
    <col min="6139" max="6139" width="29.140625" bestFit="1" customWidth="1"/>
    <col min="6140" max="6140" width="12.5703125" customWidth="1"/>
    <col min="6142" max="6142" width="24" customWidth="1"/>
    <col min="6143" max="6143" width="22.28515625" customWidth="1"/>
    <col min="6145" max="6145" width="10.140625" bestFit="1" customWidth="1"/>
    <col min="6146" max="6146" width="12.7109375" bestFit="1" customWidth="1"/>
    <col min="6147" max="6147" width="12.140625" bestFit="1" customWidth="1"/>
    <col min="6148" max="6148" width="24.42578125" bestFit="1" customWidth="1"/>
    <col min="6393" max="6393" width="30.42578125" bestFit="1" customWidth="1"/>
    <col min="6394" max="6394" width="12.140625" customWidth="1"/>
    <col min="6395" max="6395" width="29.140625" bestFit="1" customWidth="1"/>
    <col min="6396" max="6396" width="12.5703125" customWidth="1"/>
    <col min="6398" max="6398" width="24" customWidth="1"/>
    <col min="6399" max="6399" width="22.28515625" customWidth="1"/>
    <col min="6401" max="6401" width="10.140625" bestFit="1" customWidth="1"/>
    <col min="6402" max="6402" width="12.7109375" bestFit="1" customWidth="1"/>
    <col min="6403" max="6403" width="12.140625" bestFit="1" customWidth="1"/>
    <col min="6404" max="6404" width="24.42578125" bestFit="1" customWidth="1"/>
    <col min="6649" max="6649" width="30.42578125" bestFit="1" customWidth="1"/>
    <col min="6650" max="6650" width="12.140625" customWidth="1"/>
    <col min="6651" max="6651" width="29.140625" bestFit="1" customWidth="1"/>
    <col min="6652" max="6652" width="12.5703125" customWidth="1"/>
    <col min="6654" max="6654" width="24" customWidth="1"/>
    <col min="6655" max="6655" width="22.28515625" customWidth="1"/>
    <col min="6657" max="6657" width="10.140625" bestFit="1" customWidth="1"/>
    <col min="6658" max="6658" width="12.7109375" bestFit="1" customWidth="1"/>
    <col min="6659" max="6659" width="12.140625" bestFit="1" customWidth="1"/>
    <col min="6660" max="6660" width="24.42578125" bestFit="1" customWidth="1"/>
    <col min="6905" max="6905" width="30.42578125" bestFit="1" customWidth="1"/>
    <col min="6906" max="6906" width="12.140625" customWidth="1"/>
    <col min="6907" max="6907" width="29.140625" bestFit="1" customWidth="1"/>
    <col min="6908" max="6908" width="12.5703125" customWidth="1"/>
    <col min="6910" max="6910" width="24" customWidth="1"/>
    <col min="6911" max="6911" width="22.28515625" customWidth="1"/>
    <col min="6913" max="6913" width="10.140625" bestFit="1" customWidth="1"/>
    <col min="6914" max="6914" width="12.7109375" bestFit="1" customWidth="1"/>
    <col min="6915" max="6915" width="12.140625" bestFit="1" customWidth="1"/>
    <col min="6916" max="6916" width="24.42578125" bestFit="1" customWidth="1"/>
    <col min="7161" max="7161" width="30.42578125" bestFit="1" customWidth="1"/>
    <col min="7162" max="7162" width="12.140625" customWidth="1"/>
    <col min="7163" max="7163" width="29.140625" bestFit="1" customWidth="1"/>
    <col min="7164" max="7164" width="12.5703125" customWidth="1"/>
    <col min="7166" max="7166" width="24" customWidth="1"/>
    <col min="7167" max="7167" width="22.28515625" customWidth="1"/>
    <col min="7169" max="7169" width="10.140625" bestFit="1" customWidth="1"/>
    <col min="7170" max="7170" width="12.7109375" bestFit="1" customWidth="1"/>
    <col min="7171" max="7171" width="12.140625" bestFit="1" customWidth="1"/>
    <col min="7172" max="7172" width="24.42578125" bestFit="1" customWidth="1"/>
    <col min="7417" max="7417" width="30.42578125" bestFit="1" customWidth="1"/>
    <col min="7418" max="7418" width="12.140625" customWidth="1"/>
    <col min="7419" max="7419" width="29.140625" bestFit="1" customWidth="1"/>
    <col min="7420" max="7420" width="12.5703125" customWidth="1"/>
    <col min="7422" max="7422" width="24" customWidth="1"/>
    <col min="7423" max="7423" width="22.28515625" customWidth="1"/>
    <col min="7425" max="7425" width="10.140625" bestFit="1" customWidth="1"/>
    <col min="7426" max="7426" width="12.7109375" bestFit="1" customWidth="1"/>
    <col min="7427" max="7427" width="12.140625" bestFit="1" customWidth="1"/>
    <col min="7428" max="7428" width="24.42578125" bestFit="1" customWidth="1"/>
    <col min="7673" max="7673" width="30.42578125" bestFit="1" customWidth="1"/>
    <col min="7674" max="7674" width="12.140625" customWidth="1"/>
    <col min="7675" max="7675" width="29.140625" bestFit="1" customWidth="1"/>
    <col min="7676" max="7676" width="12.5703125" customWidth="1"/>
    <col min="7678" max="7678" width="24" customWidth="1"/>
    <col min="7679" max="7679" width="22.28515625" customWidth="1"/>
    <col min="7681" max="7681" width="10.140625" bestFit="1" customWidth="1"/>
    <col min="7682" max="7682" width="12.7109375" bestFit="1" customWidth="1"/>
    <col min="7683" max="7683" width="12.140625" bestFit="1" customWidth="1"/>
    <col min="7684" max="7684" width="24.42578125" bestFit="1" customWidth="1"/>
    <col min="7929" max="7929" width="30.42578125" bestFit="1" customWidth="1"/>
    <col min="7930" max="7930" width="12.140625" customWidth="1"/>
    <col min="7931" max="7931" width="29.140625" bestFit="1" customWidth="1"/>
    <col min="7932" max="7932" width="12.5703125" customWidth="1"/>
    <col min="7934" max="7934" width="24" customWidth="1"/>
    <col min="7935" max="7935" width="22.28515625" customWidth="1"/>
    <col min="7937" max="7937" width="10.140625" bestFit="1" customWidth="1"/>
    <col min="7938" max="7938" width="12.7109375" bestFit="1" customWidth="1"/>
    <col min="7939" max="7939" width="12.140625" bestFit="1" customWidth="1"/>
    <col min="7940" max="7940" width="24.42578125" bestFit="1" customWidth="1"/>
    <col min="8185" max="8185" width="30.42578125" bestFit="1" customWidth="1"/>
    <col min="8186" max="8186" width="12.140625" customWidth="1"/>
    <col min="8187" max="8187" width="29.140625" bestFit="1" customWidth="1"/>
    <col min="8188" max="8188" width="12.5703125" customWidth="1"/>
    <col min="8190" max="8190" width="24" customWidth="1"/>
    <col min="8191" max="8191" width="22.28515625" customWidth="1"/>
    <col min="8193" max="8193" width="10.140625" bestFit="1" customWidth="1"/>
    <col min="8194" max="8194" width="12.7109375" bestFit="1" customWidth="1"/>
    <col min="8195" max="8195" width="12.140625" bestFit="1" customWidth="1"/>
    <col min="8196" max="8196" width="24.42578125" bestFit="1" customWidth="1"/>
    <col min="8441" max="8441" width="30.42578125" bestFit="1" customWidth="1"/>
    <col min="8442" max="8442" width="12.140625" customWidth="1"/>
    <col min="8443" max="8443" width="29.140625" bestFit="1" customWidth="1"/>
    <col min="8444" max="8444" width="12.5703125" customWidth="1"/>
    <col min="8446" max="8446" width="24" customWidth="1"/>
    <col min="8447" max="8447" width="22.28515625" customWidth="1"/>
    <col min="8449" max="8449" width="10.140625" bestFit="1" customWidth="1"/>
    <col min="8450" max="8450" width="12.7109375" bestFit="1" customWidth="1"/>
    <col min="8451" max="8451" width="12.140625" bestFit="1" customWidth="1"/>
    <col min="8452" max="8452" width="24.42578125" bestFit="1" customWidth="1"/>
    <col min="8697" max="8697" width="30.42578125" bestFit="1" customWidth="1"/>
    <col min="8698" max="8698" width="12.140625" customWidth="1"/>
    <col min="8699" max="8699" width="29.140625" bestFit="1" customWidth="1"/>
    <col min="8700" max="8700" width="12.5703125" customWidth="1"/>
    <col min="8702" max="8702" width="24" customWidth="1"/>
    <col min="8703" max="8703" width="22.28515625" customWidth="1"/>
    <col min="8705" max="8705" width="10.140625" bestFit="1" customWidth="1"/>
    <col min="8706" max="8706" width="12.7109375" bestFit="1" customWidth="1"/>
    <col min="8707" max="8707" width="12.140625" bestFit="1" customWidth="1"/>
    <col min="8708" max="8708" width="24.42578125" bestFit="1" customWidth="1"/>
    <col min="8953" max="8953" width="30.42578125" bestFit="1" customWidth="1"/>
    <col min="8954" max="8954" width="12.140625" customWidth="1"/>
    <col min="8955" max="8955" width="29.140625" bestFit="1" customWidth="1"/>
    <col min="8956" max="8956" width="12.5703125" customWidth="1"/>
    <col min="8958" max="8958" width="24" customWidth="1"/>
    <col min="8959" max="8959" width="22.28515625" customWidth="1"/>
    <col min="8961" max="8961" width="10.140625" bestFit="1" customWidth="1"/>
    <col min="8962" max="8962" width="12.7109375" bestFit="1" customWidth="1"/>
    <col min="8963" max="8963" width="12.140625" bestFit="1" customWidth="1"/>
    <col min="8964" max="8964" width="24.42578125" bestFit="1" customWidth="1"/>
    <col min="9209" max="9209" width="30.42578125" bestFit="1" customWidth="1"/>
    <col min="9210" max="9210" width="12.140625" customWidth="1"/>
    <col min="9211" max="9211" width="29.140625" bestFit="1" customWidth="1"/>
    <col min="9212" max="9212" width="12.5703125" customWidth="1"/>
    <col min="9214" max="9214" width="24" customWidth="1"/>
    <col min="9215" max="9215" width="22.28515625" customWidth="1"/>
    <col min="9217" max="9217" width="10.140625" bestFit="1" customWidth="1"/>
    <col min="9218" max="9218" width="12.7109375" bestFit="1" customWidth="1"/>
    <col min="9219" max="9219" width="12.140625" bestFit="1" customWidth="1"/>
    <col min="9220" max="9220" width="24.42578125" bestFit="1" customWidth="1"/>
    <col min="9465" max="9465" width="30.42578125" bestFit="1" customWidth="1"/>
    <col min="9466" max="9466" width="12.140625" customWidth="1"/>
    <col min="9467" max="9467" width="29.140625" bestFit="1" customWidth="1"/>
    <col min="9468" max="9468" width="12.5703125" customWidth="1"/>
    <col min="9470" max="9470" width="24" customWidth="1"/>
    <col min="9471" max="9471" width="22.28515625" customWidth="1"/>
    <col min="9473" max="9473" width="10.140625" bestFit="1" customWidth="1"/>
    <col min="9474" max="9474" width="12.7109375" bestFit="1" customWidth="1"/>
    <col min="9475" max="9475" width="12.140625" bestFit="1" customWidth="1"/>
    <col min="9476" max="9476" width="24.42578125" bestFit="1" customWidth="1"/>
    <col min="9721" max="9721" width="30.42578125" bestFit="1" customWidth="1"/>
    <col min="9722" max="9722" width="12.140625" customWidth="1"/>
    <col min="9723" max="9723" width="29.140625" bestFit="1" customWidth="1"/>
    <col min="9724" max="9724" width="12.5703125" customWidth="1"/>
    <col min="9726" max="9726" width="24" customWidth="1"/>
    <col min="9727" max="9727" width="22.28515625" customWidth="1"/>
    <col min="9729" max="9729" width="10.140625" bestFit="1" customWidth="1"/>
    <col min="9730" max="9730" width="12.7109375" bestFit="1" customWidth="1"/>
    <col min="9731" max="9731" width="12.140625" bestFit="1" customWidth="1"/>
    <col min="9732" max="9732" width="24.42578125" bestFit="1" customWidth="1"/>
    <col min="9977" max="9977" width="30.42578125" bestFit="1" customWidth="1"/>
    <col min="9978" max="9978" width="12.140625" customWidth="1"/>
    <col min="9979" max="9979" width="29.140625" bestFit="1" customWidth="1"/>
    <col min="9980" max="9980" width="12.5703125" customWidth="1"/>
    <col min="9982" max="9982" width="24" customWidth="1"/>
    <col min="9983" max="9983" width="22.28515625" customWidth="1"/>
    <col min="9985" max="9985" width="10.140625" bestFit="1" customWidth="1"/>
    <col min="9986" max="9986" width="12.7109375" bestFit="1" customWidth="1"/>
    <col min="9987" max="9987" width="12.140625" bestFit="1" customWidth="1"/>
    <col min="9988" max="9988" width="24.42578125" bestFit="1" customWidth="1"/>
    <col min="10233" max="10233" width="30.42578125" bestFit="1" customWidth="1"/>
    <col min="10234" max="10234" width="12.140625" customWidth="1"/>
    <col min="10235" max="10235" width="29.140625" bestFit="1" customWidth="1"/>
    <col min="10236" max="10236" width="12.5703125" customWidth="1"/>
    <col min="10238" max="10238" width="24" customWidth="1"/>
    <col min="10239" max="10239" width="22.28515625" customWidth="1"/>
    <col min="10241" max="10241" width="10.140625" bestFit="1" customWidth="1"/>
    <col min="10242" max="10242" width="12.7109375" bestFit="1" customWidth="1"/>
    <col min="10243" max="10243" width="12.140625" bestFit="1" customWidth="1"/>
    <col min="10244" max="10244" width="24.42578125" bestFit="1" customWidth="1"/>
    <col min="10489" max="10489" width="30.42578125" bestFit="1" customWidth="1"/>
    <col min="10490" max="10490" width="12.140625" customWidth="1"/>
    <col min="10491" max="10491" width="29.140625" bestFit="1" customWidth="1"/>
    <col min="10492" max="10492" width="12.5703125" customWidth="1"/>
    <col min="10494" max="10494" width="24" customWidth="1"/>
    <col min="10495" max="10495" width="22.28515625" customWidth="1"/>
    <col min="10497" max="10497" width="10.140625" bestFit="1" customWidth="1"/>
    <col min="10498" max="10498" width="12.7109375" bestFit="1" customWidth="1"/>
    <col min="10499" max="10499" width="12.140625" bestFit="1" customWidth="1"/>
    <col min="10500" max="10500" width="24.42578125" bestFit="1" customWidth="1"/>
    <col min="10745" max="10745" width="30.42578125" bestFit="1" customWidth="1"/>
    <col min="10746" max="10746" width="12.140625" customWidth="1"/>
    <col min="10747" max="10747" width="29.140625" bestFit="1" customWidth="1"/>
    <col min="10748" max="10748" width="12.5703125" customWidth="1"/>
    <col min="10750" max="10750" width="24" customWidth="1"/>
    <col min="10751" max="10751" width="22.28515625" customWidth="1"/>
    <col min="10753" max="10753" width="10.140625" bestFit="1" customWidth="1"/>
    <col min="10754" max="10754" width="12.7109375" bestFit="1" customWidth="1"/>
    <col min="10755" max="10755" width="12.140625" bestFit="1" customWidth="1"/>
    <col min="10756" max="10756" width="24.42578125" bestFit="1" customWidth="1"/>
    <col min="11001" max="11001" width="30.42578125" bestFit="1" customWidth="1"/>
    <col min="11002" max="11002" width="12.140625" customWidth="1"/>
    <col min="11003" max="11003" width="29.140625" bestFit="1" customWidth="1"/>
    <col min="11004" max="11004" width="12.5703125" customWidth="1"/>
    <col min="11006" max="11006" width="24" customWidth="1"/>
    <col min="11007" max="11007" width="22.28515625" customWidth="1"/>
    <col min="11009" max="11009" width="10.140625" bestFit="1" customWidth="1"/>
    <col min="11010" max="11010" width="12.7109375" bestFit="1" customWidth="1"/>
    <col min="11011" max="11011" width="12.140625" bestFit="1" customWidth="1"/>
    <col min="11012" max="11012" width="24.42578125" bestFit="1" customWidth="1"/>
    <col min="11257" max="11257" width="30.42578125" bestFit="1" customWidth="1"/>
    <col min="11258" max="11258" width="12.140625" customWidth="1"/>
    <col min="11259" max="11259" width="29.140625" bestFit="1" customWidth="1"/>
    <col min="11260" max="11260" width="12.5703125" customWidth="1"/>
    <col min="11262" max="11262" width="24" customWidth="1"/>
    <col min="11263" max="11263" width="22.28515625" customWidth="1"/>
    <col min="11265" max="11265" width="10.140625" bestFit="1" customWidth="1"/>
    <col min="11266" max="11266" width="12.7109375" bestFit="1" customWidth="1"/>
    <col min="11267" max="11267" width="12.140625" bestFit="1" customWidth="1"/>
    <col min="11268" max="11268" width="24.42578125" bestFit="1" customWidth="1"/>
    <col min="11513" max="11513" width="30.42578125" bestFit="1" customWidth="1"/>
    <col min="11514" max="11514" width="12.140625" customWidth="1"/>
    <col min="11515" max="11515" width="29.140625" bestFit="1" customWidth="1"/>
    <col min="11516" max="11516" width="12.5703125" customWidth="1"/>
    <col min="11518" max="11518" width="24" customWidth="1"/>
    <col min="11519" max="11519" width="22.28515625" customWidth="1"/>
    <col min="11521" max="11521" width="10.140625" bestFit="1" customWidth="1"/>
    <col min="11522" max="11522" width="12.7109375" bestFit="1" customWidth="1"/>
    <col min="11523" max="11523" width="12.140625" bestFit="1" customWidth="1"/>
    <col min="11524" max="11524" width="24.42578125" bestFit="1" customWidth="1"/>
    <col min="11769" max="11769" width="30.42578125" bestFit="1" customWidth="1"/>
    <col min="11770" max="11770" width="12.140625" customWidth="1"/>
    <col min="11771" max="11771" width="29.140625" bestFit="1" customWidth="1"/>
    <col min="11772" max="11772" width="12.5703125" customWidth="1"/>
    <col min="11774" max="11774" width="24" customWidth="1"/>
    <col min="11775" max="11775" width="22.28515625" customWidth="1"/>
    <col min="11777" max="11777" width="10.140625" bestFit="1" customWidth="1"/>
    <col min="11778" max="11778" width="12.7109375" bestFit="1" customWidth="1"/>
    <col min="11779" max="11779" width="12.140625" bestFit="1" customWidth="1"/>
    <col min="11780" max="11780" width="24.42578125" bestFit="1" customWidth="1"/>
    <col min="12025" max="12025" width="30.42578125" bestFit="1" customWidth="1"/>
    <col min="12026" max="12026" width="12.140625" customWidth="1"/>
    <col min="12027" max="12027" width="29.140625" bestFit="1" customWidth="1"/>
    <col min="12028" max="12028" width="12.5703125" customWidth="1"/>
    <col min="12030" max="12030" width="24" customWidth="1"/>
    <col min="12031" max="12031" width="22.28515625" customWidth="1"/>
    <col min="12033" max="12033" width="10.140625" bestFit="1" customWidth="1"/>
    <col min="12034" max="12034" width="12.7109375" bestFit="1" customWidth="1"/>
    <col min="12035" max="12035" width="12.140625" bestFit="1" customWidth="1"/>
    <col min="12036" max="12036" width="24.42578125" bestFit="1" customWidth="1"/>
    <col min="12281" max="12281" width="30.42578125" bestFit="1" customWidth="1"/>
    <col min="12282" max="12282" width="12.140625" customWidth="1"/>
    <col min="12283" max="12283" width="29.140625" bestFit="1" customWidth="1"/>
    <col min="12284" max="12284" width="12.5703125" customWidth="1"/>
    <col min="12286" max="12286" width="24" customWidth="1"/>
    <col min="12287" max="12287" width="22.28515625" customWidth="1"/>
    <col min="12289" max="12289" width="10.140625" bestFit="1" customWidth="1"/>
    <col min="12290" max="12290" width="12.7109375" bestFit="1" customWidth="1"/>
    <col min="12291" max="12291" width="12.140625" bestFit="1" customWidth="1"/>
    <col min="12292" max="12292" width="24.42578125" bestFit="1" customWidth="1"/>
    <col min="12537" max="12537" width="30.42578125" bestFit="1" customWidth="1"/>
    <col min="12538" max="12538" width="12.140625" customWidth="1"/>
    <col min="12539" max="12539" width="29.140625" bestFit="1" customWidth="1"/>
    <col min="12540" max="12540" width="12.5703125" customWidth="1"/>
    <col min="12542" max="12542" width="24" customWidth="1"/>
    <col min="12543" max="12543" width="22.28515625" customWidth="1"/>
    <col min="12545" max="12545" width="10.140625" bestFit="1" customWidth="1"/>
    <col min="12546" max="12546" width="12.7109375" bestFit="1" customWidth="1"/>
    <col min="12547" max="12547" width="12.140625" bestFit="1" customWidth="1"/>
    <col min="12548" max="12548" width="24.42578125" bestFit="1" customWidth="1"/>
    <col min="12793" max="12793" width="30.42578125" bestFit="1" customWidth="1"/>
    <col min="12794" max="12794" width="12.140625" customWidth="1"/>
    <col min="12795" max="12795" width="29.140625" bestFit="1" customWidth="1"/>
    <col min="12796" max="12796" width="12.5703125" customWidth="1"/>
    <col min="12798" max="12798" width="24" customWidth="1"/>
    <col min="12799" max="12799" width="22.28515625" customWidth="1"/>
    <col min="12801" max="12801" width="10.140625" bestFit="1" customWidth="1"/>
    <col min="12802" max="12802" width="12.7109375" bestFit="1" customWidth="1"/>
    <col min="12803" max="12803" width="12.140625" bestFit="1" customWidth="1"/>
    <col min="12804" max="12804" width="24.42578125" bestFit="1" customWidth="1"/>
    <col min="13049" max="13049" width="30.42578125" bestFit="1" customWidth="1"/>
    <col min="13050" max="13050" width="12.140625" customWidth="1"/>
    <col min="13051" max="13051" width="29.140625" bestFit="1" customWidth="1"/>
    <col min="13052" max="13052" width="12.5703125" customWidth="1"/>
    <col min="13054" max="13054" width="24" customWidth="1"/>
    <col min="13055" max="13055" width="22.28515625" customWidth="1"/>
    <col min="13057" max="13057" width="10.140625" bestFit="1" customWidth="1"/>
    <col min="13058" max="13058" width="12.7109375" bestFit="1" customWidth="1"/>
    <col min="13059" max="13059" width="12.140625" bestFit="1" customWidth="1"/>
    <col min="13060" max="13060" width="24.42578125" bestFit="1" customWidth="1"/>
    <col min="13305" max="13305" width="30.42578125" bestFit="1" customWidth="1"/>
    <col min="13306" max="13306" width="12.140625" customWidth="1"/>
    <col min="13307" max="13307" width="29.140625" bestFit="1" customWidth="1"/>
    <col min="13308" max="13308" width="12.5703125" customWidth="1"/>
    <col min="13310" max="13310" width="24" customWidth="1"/>
    <col min="13311" max="13311" width="22.28515625" customWidth="1"/>
    <col min="13313" max="13313" width="10.140625" bestFit="1" customWidth="1"/>
    <col min="13314" max="13314" width="12.7109375" bestFit="1" customWidth="1"/>
    <col min="13315" max="13315" width="12.140625" bestFit="1" customWidth="1"/>
    <col min="13316" max="13316" width="24.42578125" bestFit="1" customWidth="1"/>
    <col min="13561" max="13561" width="30.42578125" bestFit="1" customWidth="1"/>
    <col min="13562" max="13562" width="12.140625" customWidth="1"/>
    <col min="13563" max="13563" width="29.140625" bestFit="1" customWidth="1"/>
    <col min="13564" max="13564" width="12.5703125" customWidth="1"/>
    <col min="13566" max="13566" width="24" customWidth="1"/>
    <col min="13567" max="13567" width="22.28515625" customWidth="1"/>
    <col min="13569" max="13569" width="10.140625" bestFit="1" customWidth="1"/>
    <col min="13570" max="13570" width="12.7109375" bestFit="1" customWidth="1"/>
    <col min="13571" max="13571" width="12.140625" bestFit="1" customWidth="1"/>
    <col min="13572" max="13572" width="24.42578125" bestFit="1" customWidth="1"/>
    <col min="13817" max="13817" width="30.42578125" bestFit="1" customWidth="1"/>
    <col min="13818" max="13818" width="12.140625" customWidth="1"/>
    <col min="13819" max="13819" width="29.140625" bestFit="1" customWidth="1"/>
    <col min="13820" max="13820" width="12.5703125" customWidth="1"/>
    <col min="13822" max="13822" width="24" customWidth="1"/>
    <col min="13823" max="13823" width="22.28515625" customWidth="1"/>
    <col min="13825" max="13825" width="10.140625" bestFit="1" customWidth="1"/>
    <col min="13826" max="13826" width="12.7109375" bestFit="1" customWidth="1"/>
    <col min="13827" max="13827" width="12.140625" bestFit="1" customWidth="1"/>
    <col min="13828" max="13828" width="24.42578125" bestFit="1" customWidth="1"/>
    <col min="14073" max="14073" width="30.42578125" bestFit="1" customWidth="1"/>
    <col min="14074" max="14074" width="12.140625" customWidth="1"/>
    <col min="14075" max="14075" width="29.140625" bestFit="1" customWidth="1"/>
    <col min="14076" max="14076" width="12.5703125" customWidth="1"/>
    <col min="14078" max="14078" width="24" customWidth="1"/>
    <col min="14079" max="14079" width="22.28515625" customWidth="1"/>
    <col min="14081" max="14081" width="10.140625" bestFit="1" customWidth="1"/>
    <col min="14082" max="14082" width="12.7109375" bestFit="1" customWidth="1"/>
    <col min="14083" max="14083" width="12.140625" bestFit="1" customWidth="1"/>
    <col min="14084" max="14084" width="24.42578125" bestFit="1" customWidth="1"/>
    <col min="14329" max="14329" width="30.42578125" bestFit="1" customWidth="1"/>
    <col min="14330" max="14330" width="12.140625" customWidth="1"/>
    <col min="14331" max="14331" width="29.140625" bestFit="1" customWidth="1"/>
    <col min="14332" max="14332" width="12.5703125" customWidth="1"/>
    <col min="14334" max="14334" width="24" customWidth="1"/>
    <col min="14335" max="14335" width="22.28515625" customWidth="1"/>
    <col min="14337" max="14337" width="10.140625" bestFit="1" customWidth="1"/>
    <col min="14338" max="14338" width="12.7109375" bestFit="1" customWidth="1"/>
    <col min="14339" max="14339" width="12.140625" bestFit="1" customWidth="1"/>
    <col min="14340" max="14340" width="24.42578125" bestFit="1" customWidth="1"/>
    <col min="14585" max="14585" width="30.42578125" bestFit="1" customWidth="1"/>
    <col min="14586" max="14586" width="12.140625" customWidth="1"/>
    <col min="14587" max="14587" width="29.140625" bestFit="1" customWidth="1"/>
    <col min="14588" max="14588" width="12.5703125" customWidth="1"/>
    <col min="14590" max="14590" width="24" customWidth="1"/>
    <col min="14591" max="14591" width="22.28515625" customWidth="1"/>
    <col min="14593" max="14593" width="10.140625" bestFit="1" customWidth="1"/>
    <col min="14594" max="14594" width="12.7109375" bestFit="1" customWidth="1"/>
    <col min="14595" max="14595" width="12.140625" bestFit="1" customWidth="1"/>
    <col min="14596" max="14596" width="24.42578125" bestFit="1" customWidth="1"/>
    <col min="14841" max="14841" width="30.42578125" bestFit="1" customWidth="1"/>
    <col min="14842" max="14842" width="12.140625" customWidth="1"/>
    <col min="14843" max="14843" width="29.140625" bestFit="1" customWidth="1"/>
    <col min="14844" max="14844" width="12.5703125" customWidth="1"/>
    <col min="14846" max="14846" width="24" customWidth="1"/>
    <col min="14847" max="14847" width="22.28515625" customWidth="1"/>
    <col min="14849" max="14849" width="10.140625" bestFit="1" customWidth="1"/>
    <col min="14850" max="14850" width="12.7109375" bestFit="1" customWidth="1"/>
    <col min="14851" max="14851" width="12.140625" bestFit="1" customWidth="1"/>
    <col min="14852" max="14852" width="24.42578125" bestFit="1" customWidth="1"/>
    <col min="15097" max="15097" width="30.42578125" bestFit="1" customWidth="1"/>
    <col min="15098" max="15098" width="12.140625" customWidth="1"/>
    <col min="15099" max="15099" width="29.140625" bestFit="1" customWidth="1"/>
    <col min="15100" max="15100" width="12.5703125" customWidth="1"/>
    <col min="15102" max="15102" width="24" customWidth="1"/>
    <col min="15103" max="15103" width="22.28515625" customWidth="1"/>
    <col min="15105" max="15105" width="10.140625" bestFit="1" customWidth="1"/>
    <col min="15106" max="15106" width="12.7109375" bestFit="1" customWidth="1"/>
    <col min="15107" max="15107" width="12.140625" bestFit="1" customWidth="1"/>
    <col min="15108" max="15108" width="24.42578125" bestFit="1" customWidth="1"/>
    <col min="15353" max="15353" width="30.42578125" bestFit="1" customWidth="1"/>
    <col min="15354" max="15354" width="12.140625" customWidth="1"/>
    <col min="15355" max="15355" width="29.140625" bestFit="1" customWidth="1"/>
    <col min="15356" max="15356" width="12.5703125" customWidth="1"/>
    <col min="15358" max="15358" width="24" customWidth="1"/>
    <col min="15359" max="15359" width="22.28515625" customWidth="1"/>
    <col min="15361" max="15361" width="10.140625" bestFit="1" customWidth="1"/>
    <col min="15362" max="15362" width="12.7109375" bestFit="1" customWidth="1"/>
    <col min="15363" max="15363" width="12.140625" bestFit="1" customWidth="1"/>
    <col min="15364" max="15364" width="24.42578125" bestFit="1" customWidth="1"/>
    <col min="15609" max="15609" width="30.42578125" bestFit="1" customWidth="1"/>
    <col min="15610" max="15610" width="12.140625" customWidth="1"/>
    <col min="15611" max="15611" width="29.140625" bestFit="1" customWidth="1"/>
    <col min="15612" max="15612" width="12.5703125" customWidth="1"/>
    <col min="15614" max="15614" width="24" customWidth="1"/>
    <col min="15615" max="15615" width="22.28515625" customWidth="1"/>
    <col min="15617" max="15617" width="10.140625" bestFit="1" customWidth="1"/>
    <col min="15618" max="15618" width="12.7109375" bestFit="1" customWidth="1"/>
    <col min="15619" max="15619" width="12.140625" bestFit="1" customWidth="1"/>
    <col min="15620" max="15620" width="24.42578125" bestFit="1" customWidth="1"/>
    <col min="15865" max="15865" width="30.42578125" bestFit="1" customWidth="1"/>
    <col min="15866" max="15866" width="12.140625" customWidth="1"/>
    <col min="15867" max="15867" width="29.140625" bestFit="1" customWidth="1"/>
    <col min="15868" max="15868" width="12.5703125" customWidth="1"/>
    <col min="15870" max="15870" width="24" customWidth="1"/>
    <col min="15871" max="15871" width="22.28515625" customWidth="1"/>
    <col min="15873" max="15873" width="10.140625" bestFit="1" customWidth="1"/>
    <col min="15874" max="15874" width="12.7109375" bestFit="1" customWidth="1"/>
    <col min="15875" max="15875" width="12.140625" bestFit="1" customWidth="1"/>
    <col min="15876" max="15876" width="24.42578125" bestFit="1" customWidth="1"/>
    <col min="16121" max="16121" width="30.42578125" bestFit="1" customWidth="1"/>
    <col min="16122" max="16122" width="12.140625" customWidth="1"/>
    <col min="16123" max="16123" width="29.140625" bestFit="1" customWidth="1"/>
    <col min="16124" max="16124" width="12.5703125" customWidth="1"/>
    <col min="16126" max="16126" width="24" customWidth="1"/>
    <col min="16127" max="16127" width="22.28515625" customWidth="1"/>
    <col min="16129" max="16129" width="10.140625" bestFit="1" customWidth="1"/>
    <col min="16130" max="16130" width="12.7109375" bestFit="1" customWidth="1"/>
    <col min="16131" max="16131" width="12.140625" bestFit="1" customWidth="1"/>
    <col min="16132" max="16132" width="24.42578125" bestFit="1" customWidth="1"/>
  </cols>
  <sheetData>
    <row r="1" spans="1:26" ht="15.75" customHeight="1" thickBot="1" x14ac:dyDescent="0.3">
      <c r="B1" s="123">
        <v>42309</v>
      </c>
      <c r="C1" s="123"/>
      <c r="D1" s="7"/>
      <c r="E1" s="124" t="s">
        <v>8</v>
      </c>
      <c r="F1" s="125"/>
      <c r="G1" s="125"/>
      <c r="H1" s="126"/>
      <c r="I1" s="127"/>
      <c r="J1" s="3">
        <v>30</v>
      </c>
      <c r="K1" s="3">
        <v>30</v>
      </c>
      <c r="L1" s="3">
        <v>30</v>
      </c>
      <c r="M1" s="3">
        <v>35</v>
      </c>
      <c r="N1" s="3">
        <v>30</v>
      </c>
      <c r="O1" s="3">
        <v>25</v>
      </c>
      <c r="P1" s="3">
        <v>25</v>
      </c>
      <c r="Q1" s="3">
        <v>30</v>
      </c>
      <c r="R1" s="3">
        <v>35</v>
      </c>
      <c r="S1" s="3">
        <v>35</v>
      </c>
      <c r="T1" s="3">
        <v>30</v>
      </c>
      <c r="U1" s="3">
        <v>35</v>
      </c>
      <c r="V1" s="3">
        <v>35</v>
      </c>
      <c r="W1" s="3">
        <v>30</v>
      </c>
      <c r="X1" s="3">
        <v>30</v>
      </c>
      <c r="Y1" s="129" t="s">
        <v>25</v>
      </c>
      <c r="Z1" s="25">
        <f ca="1">TODAY()</f>
        <v>45273</v>
      </c>
    </row>
    <row r="2" spans="1:26" ht="30" customHeight="1" x14ac:dyDescent="0.25">
      <c r="B2" s="131" t="s">
        <v>1</v>
      </c>
      <c r="C2" s="132"/>
      <c r="E2" s="35" t="s">
        <v>12</v>
      </c>
      <c r="F2" s="36" t="s">
        <v>9</v>
      </c>
      <c r="G2" s="36" t="s">
        <v>10</v>
      </c>
      <c r="H2" s="4" t="s">
        <v>11</v>
      </c>
      <c r="I2" s="128"/>
      <c r="J2" s="23" t="s">
        <v>22</v>
      </c>
      <c r="K2" s="23" t="s">
        <v>5</v>
      </c>
      <c r="L2" s="23" t="s">
        <v>13</v>
      </c>
      <c r="M2" s="23" t="s">
        <v>14</v>
      </c>
      <c r="N2" s="23" t="s">
        <v>15</v>
      </c>
      <c r="O2" s="23" t="s">
        <v>56</v>
      </c>
      <c r="P2" s="23" t="s">
        <v>55</v>
      </c>
      <c r="Q2" s="23" t="s">
        <v>23</v>
      </c>
      <c r="R2" s="23" t="s">
        <v>57</v>
      </c>
      <c r="S2" s="23" t="s">
        <v>26</v>
      </c>
      <c r="T2" s="23" t="s">
        <v>19</v>
      </c>
      <c r="U2" s="23" t="s">
        <v>20</v>
      </c>
      <c r="V2" s="23" t="s">
        <v>21</v>
      </c>
      <c r="W2" s="23" t="s">
        <v>36</v>
      </c>
      <c r="X2" s="23" t="s">
        <v>41</v>
      </c>
      <c r="Y2" s="130"/>
    </row>
    <row r="3" spans="1:26" ht="15.75" thickBot="1" x14ac:dyDescent="0.3">
      <c r="B3" s="49" t="s">
        <v>0</v>
      </c>
      <c r="C3" s="50" t="s">
        <v>2</v>
      </c>
      <c r="E3" s="32">
        <f>B1</f>
        <v>42309</v>
      </c>
      <c r="F3" s="71"/>
      <c r="G3" s="71"/>
      <c r="H3" s="72"/>
      <c r="I3" s="31">
        <f>E3</f>
        <v>42309</v>
      </c>
      <c r="J3" s="37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9"/>
      <c r="Y3" s="61">
        <f>SUM(J3:X3)</f>
        <v>0</v>
      </c>
    </row>
    <row r="4" spans="1:26" ht="15.75" thickBot="1" x14ac:dyDescent="0.3">
      <c r="B4" s="14" t="s">
        <v>3</v>
      </c>
      <c r="C4" s="15">
        <f>F34</f>
        <v>41227</v>
      </c>
      <c r="E4" s="32">
        <f>E3+1</f>
        <v>42310</v>
      </c>
      <c r="F4" s="71"/>
      <c r="G4" s="71"/>
      <c r="H4" s="72"/>
      <c r="I4" s="31">
        <f t="shared" ref="I4:I33" si="0">E4</f>
        <v>42310</v>
      </c>
      <c r="J4" s="40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2"/>
      <c r="Y4" s="62">
        <f>SUM(J4:X4)</f>
        <v>0</v>
      </c>
    </row>
    <row r="5" spans="1:26" ht="15" customHeight="1" thickBot="1" x14ac:dyDescent="0.3">
      <c r="A5" s="51"/>
      <c r="E5" s="32">
        <f t="shared" ref="E5:E33" si="1">E4+1</f>
        <v>42311</v>
      </c>
      <c r="F5" s="71"/>
      <c r="G5" s="71"/>
      <c r="H5" s="72"/>
      <c r="I5" s="31">
        <f t="shared" si="0"/>
        <v>42311</v>
      </c>
      <c r="J5" s="40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2"/>
      <c r="Y5" s="62">
        <f t="shared" ref="Y5:Y33" si="2">SUM(J5:X5)</f>
        <v>0</v>
      </c>
    </row>
    <row r="6" spans="1:26" ht="15" customHeight="1" x14ac:dyDescent="0.25">
      <c r="A6" s="139" t="s">
        <v>42</v>
      </c>
      <c r="B6" s="76" t="s">
        <v>7</v>
      </c>
      <c r="C6" s="11">
        <v>4000</v>
      </c>
      <c r="E6" s="32">
        <f t="shared" si="1"/>
        <v>42312</v>
      </c>
      <c r="F6" s="71"/>
      <c r="G6" s="71"/>
      <c r="H6" s="72"/>
      <c r="I6" s="31">
        <f t="shared" si="0"/>
        <v>42312</v>
      </c>
      <c r="J6" s="40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2"/>
      <c r="Y6" s="62">
        <f t="shared" si="2"/>
        <v>0</v>
      </c>
    </row>
    <row r="7" spans="1:26" x14ac:dyDescent="0.25">
      <c r="A7" s="140"/>
      <c r="B7" s="77" t="s">
        <v>43</v>
      </c>
      <c r="C7" s="12">
        <v>40</v>
      </c>
      <c r="E7" s="32">
        <f t="shared" si="1"/>
        <v>42313</v>
      </c>
      <c r="F7" s="71"/>
      <c r="G7" s="71"/>
      <c r="H7" s="72"/>
      <c r="I7" s="31">
        <f t="shared" si="0"/>
        <v>42313</v>
      </c>
      <c r="J7" s="40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2"/>
      <c r="Y7" s="62">
        <f t="shared" si="2"/>
        <v>0</v>
      </c>
    </row>
    <row r="8" spans="1:26" x14ac:dyDescent="0.25">
      <c r="A8" s="140"/>
      <c r="B8" s="77" t="s">
        <v>4</v>
      </c>
      <c r="C8" s="13">
        <f>(INDEX('[1]Кредит Сатурн'!$C:$C,MATCH(B1,'[1]Кредит Сатурн'!$A:$A,0)))</f>
        <v>2064</v>
      </c>
      <c r="E8" s="32">
        <f t="shared" si="1"/>
        <v>42314</v>
      </c>
      <c r="F8" s="71"/>
      <c r="G8" s="71"/>
      <c r="H8" s="72"/>
      <c r="I8" s="31">
        <f t="shared" si="0"/>
        <v>42314</v>
      </c>
      <c r="J8" s="40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2"/>
      <c r="Y8" s="62">
        <f t="shared" si="2"/>
        <v>0</v>
      </c>
    </row>
    <row r="9" spans="1:26" x14ac:dyDescent="0.25">
      <c r="A9" s="140"/>
      <c r="B9" s="77" t="s">
        <v>27</v>
      </c>
      <c r="C9" s="12">
        <f>'[2]Расход ингредиентов'!$D$251</f>
        <v>7400</v>
      </c>
      <c r="E9" s="32">
        <f t="shared" si="1"/>
        <v>42315</v>
      </c>
      <c r="F9" s="71">
        <f>8830</f>
        <v>8830</v>
      </c>
      <c r="G9" s="71"/>
      <c r="H9" s="72" t="s">
        <v>3</v>
      </c>
      <c r="I9" s="31">
        <f t="shared" si="0"/>
        <v>42315</v>
      </c>
      <c r="J9" s="40">
        <v>12</v>
      </c>
      <c r="K9" s="41">
        <v>12</v>
      </c>
      <c r="L9" s="41">
        <v>2</v>
      </c>
      <c r="M9" s="41">
        <v>81</v>
      </c>
      <c r="N9" s="41">
        <v>34</v>
      </c>
      <c r="O9" s="41">
        <v>14</v>
      </c>
      <c r="P9" s="41">
        <v>9</v>
      </c>
      <c r="Q9" s="41">
        <v>17</v>
      </c>
      <c r="R9" s="41">
        <v>5</v>
      </c>
      <c r="S9" s="41">
        <v>11</v>
      </c>
      <c r="T9" s="41">
        <v>19</v>
      </c>
      <c r="U9" s="41">
        <v>7</v>
      </c>
      <c r="V9" s="41">
        <v>12</v>
      </c>
      <c r="W9" s="41">
        <v>69</v>
      </c>
      <c r="X9" s="42">
        <v>19</v>
      </c>
      <c r="Y9" s="62">
        <f t="shared" si="2"/>
        <v>323</v>
      </c>
    </row>
    <row r="10" spans="1:26" x14ac:dyDescent="0.25">
      <c r="A10" s="140"/>
      <c r="B10" s="77" t="s">
        <v>44</v>
      </c>
      <c r="C10" s="12">
        <f>'[2]Расход ингредиентов'!$D$248</f>
        <v>936.32653061224482</v>
      </c>
      <c r="E10" s="32">
        <f t="shared" si="1"/>
        <v>42316</v>
      </c>
      <c r="F10" s="71"/>
      <c r="G10" s="71"/>
      <c r="H10" s="120"/>
      <c r="I10" s="31">
        <f t="shared" si="0"/>
        <v>42316</v>
      </c>
      <c r="J10" s="40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2"/>
      <c r="Y10" s="62">
        <f t="shared" si="2"/>
        <v>0</v>
      </c>
    </row>
    <row r="11" spans="1:26" x14ac:dyDescent="0.25">
      <c r="A11" s="140"/>
      <c r="B11" s="77" t="s">
        <v>38</v>
      </c>
      <c r="C11" s="12">
        <f>'[2]Расход ингредиентов'!$D$247</f>
        <v>-2360</v>
      </c>
      <c r="E11" s="32">
        <f t="shared" si="1"/>
        <v>42317</v>
      </c>
      <c r="F11" s="71"/>
      <c r="G11" s="71"/>
      <c r="H11" s="72"/>
      <c r="I11" s="31">
        <f t="shared" si="0"/>
        <v>42317</v>
      </c>
      <c r="J11" s="40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2"/>
      <c r="Y11" s="62">
        <f t="shared" si="2"/>
        <v>0</v>
      </c>
    </row>
    <row r="12" spans="1:26" x14ac:dyDescent="0.25">
      <c r="A12" s="140"/>
      <c r="B12" s="77" t="s">
        <v>39</v>
      </c>
      <c r="C12" s="12">
        <v>0</v>
      </c>
      <c r="E12" s="32">
        <f t="shared" si="1"/>
        <v>42318</v>
      </c>
      <c r="F12" s="71"/>
      <c r="G12" s="71"/>
      <c r="H12" s="72"/>
      <c r="I12" s="31">
        <f t="shared" si="0"/>
        <v>42318</v>
      </c>
      <c r="J12" s="40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2"/>
      <c r="Y12" s="62">
        <f t="shared" si="2"/>
        <v>0</v>
      </c>
    </row>
    <row r="13" spans="1:26" x14ac:dyDescent="0.25">
      <c r="A13" s="140"/>
      <c r="B13" s="77" t="s">
        <v>31</v>
      </c>
      <c r="C13" s="18">
        <v>3300</v>
      </c>
      <c r="E13" s="32">
        <f t="shared" si="1"/>
        <v>42319</v>
      </c>
      <c r="F13" s="71"/>
      <c r="G13" s="71"/>
      <c r="H13" s="72"/>
      <c r="I13" s="31">
        <f t="shared" si="0"/>
        <v>42319</v>
      </c>
      <c r="J13" s="40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2"/>
      <c r="Y13" s="62">
        <f t="shared" si="2"/>
        <v>0</v>
      </c>
    </row>
    <row r="14" spans="1:26" x14ac:dyDescent="0.25">
      <c r="A14" s="140"/>
      <c r="B14" s="77" t="s">
        <v>46</v>
      </c>
      <c r="C14" s="18">
        <v>1430</v>
      </c>
      <c r="E14" s="32">
        <f t="shared" si="1"/>
        <v>42320</v>
      </c>
      <c r="F14" s="71"/>
      <c r="G14" s="71">
        <v>300</v>
      </c>
      <c r="H14" s="72" t="s">
        <v>78</v>
      </c>
      <c r="I14" s="31">
        <f t="shared" si="0"/>
        <v>42320</v>
      </c>
      <c r="J14" s="40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2"/>
      <c r="Y14" s="62">
        <f t="shared" si="2"/>
        <v>0</v>
      </c>
    </row>
    <row r="15" spans="1:26" x14ac:dyDescent="0.25">
      <c r="A15" s="140"/>
      <c r="B15" s="77" t="s">
        <v>45</v>
      </c>
      <c r="C15" s="12">
        <f>G15+G14+G22</f>
        <v>1330</v>
      </c>
      <c r="E15" s="32">
        <f t="shared" si="1"/>
        <v>42321</v>
      </c>
      <c r="F15" s="71"/>
      <c r="G15" s="71">
        <f>260</f>
        <v>260</v>
      </c>
      <c r="H15" s="72" t="s">
        <v>119</v>
      </c>
      <c r="I15" s="31">
        <f t="shared" si="0"/>
        <v>42321</v>
      </c>
      <c r="J15" s="40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62">
        <f t="shared" si="2"/>
        <v>0</v>
      </c>
    </row>
    <row r="16" spans="1:26" ht="15.75" thickBot="1" x14ac:dyDescent="0.3">
      <c r="A16" s="141"/>
      <c r="B16" s="78" t="s">
        <v>47</v>
      </c>
      <c r="C16" s="53">
        <f>SUM(C6:C15)</f>
        <v>18140.326530612245</v>
      </c>
      <c r="E16" s="32">
        <f t="shared" si="1"/>
        <v>42322</v>
      </c>
      <c r="F16" s="71">
        <f>7090+200</f>
        <v>7290</v>
      </c>
      <c r="G16" s="71"/>
      <c r="H16" s="72" t="s">
        <v>3</v>
      </c>
      <c r="I16" s="31">
        <f t="shared" si="0"/>
        <v>42322</v>
      </c>
      <c r="J16" s="40">
        <v>8</v>
      </c>
      <c r="K16" s="41">
        <v>17</v>
      </c>
      <c r="L16" s="41">
        <v>3</v>
      </c>
      <c r="M16" s="41">
        <v>71</v>
      </c>
      <c r="N16" s="41">
        <v>22</v>
      </c>
      <c r="O16" s="41">
        <v>11</v>
      </c>
      <c r="P16" s="41">
        <v>13</v>
      </c>
      <c r="Q16" s="41">
        <v>15</v>
      </c>
      <c r="R16" s="41">
        <v>11</v>
      </c>
      <c r="S16" s="41">
        <v>9</v>
      </c>
      <c r="T16" s="41">
        <v>19</v>
      </c>
      <c r="U16" s="41">
        <v>7</v>
      </c>
      <c r="V16" s="41">
        <v>11</v>
      </c>
      <c r="W16" s="41">
        <v>5</v>
      </c>
      <c r="X16" s="42">
        <v>52</v>
      </c>
      <c r="Y16" s="62">
        <f t="shared" si="2"/>
        <v>274</v>
      </c>
    </row>
    <row r="17" spans="1:25" ht="15.75" thickBot="1" x14ac:dyDescent="0.3">
      <c r="E17" s="32">
        <f t="shared" si="1"/>
        <v>42323</v>
      </c>
      <c r="F17" s="71"/>
      <c r="G17" s="71"/>
      <c r="H17" s="72"/>
      <c r="I17" s="31">
        <f t="shared" si="0"/>
        <v>42323</v>
      </c>
      <c r="J17" s="40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2"/>
      <c r="Y17" s="62">
        <f t="shared" si="2"/>
        <v>0</v>
      </c>
    </row>
    <row r="18" spans="1:25" ht="15.75" thickBot="1" x14ac:dyDescent="0.3">
      <c r="B18" s="16" t="s">
        <v>32</v>
      </c>
      <c r="C18" s="17">
        <f>C4-C16</f>
        <v>23086.673469387755</v>
      </c>
      <c r="E18" s="32">
        <f t="shared" si="1"/>
        <v>42324</v>
      </c>
      <c r="F18" s="71"/>
      <c r="G18" s="71"/>
      <c r="H18" s="72"/>
      <c r="I18" s="31">
        <f t="shared" si="0"/>
        <v>42324</v>
      </c>
      <c r="J18" s="40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2"/>
      <c r="Y18" s="62">
        <f t="shared" si="2"/>
        <v>0</v>
      </c>
    </row>
    <row r="19" spans="1:25" ht="15.75" thickBot="1" x14ac:dyDescent="0.3">
      <c r="E19" s="32">
        <f t="shared" si="1"/>
        <v>42325</v>
      </c>
      <c r="F19" s="71"/>
      <c r="G19" s="71"/>
      <c r="H19" s="72"/>
      <c r="I19" s="31">
        <f t="shared" si="0"/>
        <v>42325</v>
      </c>
      <c r="J19" s="40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2"/>
      <c r="Y19" s="62">
        <f t="shared" si="2"/>
        <v>0</v>
      </c>
    </row>
    <row r="20" spans="1:25" ht="15.75" thickBot="1" x14ac:dyDescent="0.3">
      <c r="B20" s="16" t="s">
        <v>48</v>
      </c>
      <c r="C20" s="17">
        <f>CEILING(C6+C8,100)</f>
        <v>6100</v>
      </c>
      <c r="E20" s="32">
        <f t="shared" si="1"/>
        <v>42326</v>
      </c>
      <c r="F20" s="71"/>
      <c r="G20" s="71"/>
      <c r="H20" s="72"/>
      <c r="I20" s="31">
        <f t="shared" si="0"/>
        <v>42326</v>
      </c>
      <c r="J20" s="40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2"/>
      <c r="Y20" s="62">
        <f t="shared" si="2"/>
        <v>0</v>
      </c>
    </row>
    <row r="21" spans="1:25" ht="15.75" thickBot="1" x14ac:dyDescent="0.3">
      <c r="E21" s="32">
        <f>E20+1</f>
        <v>42327</v>
      </c>
      <c r="F21" s="71"/>
      <c r="G21" s="71"/>
      <c r="H21" s="72"/>
      <c r="I21" s="31">
        <f t="shared" si="0"/>
        <v>42327</v>
      </c>
      <c r="J21" s="40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2"/>
      <c r="Y21" s="62">
        <f t="shared" si="2"/>
        <v>0</v>
      </c>
    </row>
    <row r="22" spans="1:25" ht="15.75" thickBot="1" x14ac:dyDescent="0.3">
      <c r="B22" s="52" t="s">
        <v>53</v>
      </c>
      <c r="C22" s="63">
        <f>C18</f>
        <v>23086.673469387755</v>
      </c>
      <c r="E22" s="32">
        <f t="shared" si="1"/>
        <v>42328</v>
      </c>
      <c r="F22" s="71"/>
      <c r="G22" s="71">
        <f>3850/5</f>
        <v>770</v>
      </c>
      <c r="H22" s="72" t="s">
        <v>121</v>
      </c>
      <c r="I22" s="31">
        <f t="shared" si="0"/>
        <v>42328</v>
      </c>
      <c r="J22" s="40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2"/>
      <c r="Y22" s="62">
        <f t="shared" si="2"/>
        <v>0</v>
      </c>
    </row>
    <row r="23" spans="1:25" ht="15" customHeight="1" x14ac:dyDescent="0.25">
      <c r="A23" s="133" t="s">
        <v>49</v>
      </c>
      <c r="B23" s="58" t="s">
        <v>50</v>
      </c>
      <c r="C23" s="59">
        <v>0</v>
      </c>
      <c r="E23" s="32">
        <f t="shared" si="1"/>
        <v>42329</v>
      </c>
      <c r="F23" s="71">
        <f>15690-F16</f>
        <v>8400</v>
      </c>
      <c r="G23" s="71"/>
      <c r="H23" s="72" t="s">
        <v>3</v>
      </c>
      <c r="I23" s="31">
        <f t="shared" si="0"/>
        <v>42329</v>
      </c>
      <c r="J23" s="40">
        <f>21-8</f>
        <v>13</v>
      </c>
      <c r="K23" s="41">
        <f>39-17</f>
        <v>22</v>
      </c>
      <c r="L23" s="41">
        <v>5</v>
      </c>
      <c r="M23" s="41">
        <f>139-71</f>
        <v>68</v>
      </c>
      <c r="N23" s="41">
        <f>51-N16</f>
        <v>29</v>
      </c>
      <c r="O23" s="41">
        <f>28-O16</f>
        <v>17</v>
      </c>
      <c r="P23" s="41">
        <f>27-P16</f>
        <v>14</v>
      </c>
      <c r="Q23" s="41" t="s">
        <v>120</v>
      </c>
      <c r="R23" s="41">
        <v>7</v>
      </c>
      <c r="S23" s="41">
        <v>4</v>
      </c>
      <c r="T23" s="41">
        <f>32-T16</f>
        <v>13</v>
      </c>
      <c r="U23" s="41">
        <f>38-U16</f>
        <v>31</v>
      </c>
      <c r="V23" s="41">
        <f>27-11</f>
        <v>16</v>
      </c>
      <c r="W23" s="41">
        <f>11</f>
        <v>11</v>
      </c>
      <c r="X23" s="42">
        <f>65-X16</f>
        <v>13</v>
      </c>
      <c r="Y23" s="62">
        <f t="shared" si="2"/>
        <v>263</v>
      </c>
    </row>
    <row r="24" spans="1:25" x14ac:dyDescent="0.25">
      <c r="A24" s="134"/>
      <c r="B24" s="54" t="s">
        <v>40</v>
      </c>
      <c r="C24" s="55">
        <v>0</v>
      </c>
      <c r="E24" s="32">
        <f t="shared" si="1"/>
        <v>42330</v>
      </c>
      <c r="F24" s="71"/>
      <c r="G24" s="71"/>
      <c r="H24" s="119"/>
      <c r="I24" s="31">
        <f t="shared" si="0"/>
        <v>42330</v>
      </c>
      <c r="J24" s="40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2"/>
      <c r="Y24" s="62">
        <f t="shared" si="2"/>
        <v>0</v>
      </c>
    </row>
    <row r="25" spans="1:25" x14ac:dyDescent="0.25">
      <c r="A25" s="134"/>
      <c r="B25" s="54" t="s">
        <v>51</v>
      </c>
      <c r="C25" s="55">
        <v>0</v>
      </c>
      <c r="E25" s="32">
        <f t="shared" si="1"/>
        <v>42331</v>
      </c>
      <c r="F25" s="71"/>
      <c r="G25" s="71"/>
      <c r="H25" s="72"/>
      <c r="I25" s="31">
        <f t="shared" si="0"/>
        <v>42331</v>
      </c>
      <c r="J25" s="40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2"/>
      <c r="Y25" s="62">
        <f t="shared" si="2"/>
        <v>0</v>
      </c>
    </row>
    <row r="26" spans="1:25" ht="15.75" thickBot="1" x14ac:dyDescent="0.3">
      <c r="A26" s="134"/>
      <c r="B26" s="57" t="s">
        <v>52</v>
      </c>
      <c r="C26" s="56">
        <v>0</v>
      </c>
      <c r="E26" s="32">
        <f t="shared" si="1"/>
        <v>42332</v>
      </c>
      <c r="F26" s="71"/>
      <c r="G26" s="71"/>
      <c r="H26" s="72"/>
      <c r="I26" s="31">
        <f t="shared" si="0"/>
        <v>42332</v>
      </c>
      <c r="J26" s="40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2"/>
      <c r="Y26" s="62">
        <f t="shared" si="2"/>
        <v>0</v>
      </c>
    </row>
    <row r="27" spans="1:25" ht="15.75" thickBot="1" x14ac:dyDescent="0.3">
      <c r="A27" s="134"/>
      <c r="B27" s="52" t="s">
        <v>54</v>
      </c>
      <c r="C27" s="60">
        <f>C22-SUM(C23:C26)</f>
        <v>23086.673469387755</v>
      </c>
      <c r="E27" s="32">
        <f t="shared" si="1"/>
        <v>42333</v>
      </c>
      <c r="F27" s="71"/>
      <c r="G27" s="71"/>
      <c r="H27" s="72"/>
      <c r="I27" s="31">
        <f t="shared" si="0"/>
        <v>42333</v>
      </c>
      <c r="J27" s="40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2"/>
      <c r="Y27" s="62">
        <f t="shared" si="2"/>
        <v>0</v>
      </c>
    </row>
    <row r="28" spans="1:25" ht="15.75" thickBot="1" x14ac:dyDescent="0.3">
      <c r="A28" s="135"/>
      <c r="B28" s="33"/>
      <c r="C28" s="34"/>
      <c r="E28" s="32">
        <f t="shared" si="1"/>
        <v>42334</v>
      </c>
      <c r="F28" s="71"/>
      <c r="G28" s="29"/>
      <c r="H28" s="72"/>
      <c r="I28" s="31">
        <f t="shared" si="0"/>
        <v>42334</v>
      </c>
      <c r="J28" s="40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2"/>
      <c r="Y28" s="62">
        <f t="shared" si="2"/>
        <v>0</v>
      </c>
    </row>
    <row r="29" spans="1:25" ht="15.75" thickBot="1" x14ac:dyDescent="0.3">
      <c r="B29" s="16" t="s">
        <v>28</v>
      </c>
      <c r="C29" s="17">
        <f>'11'!G35+'10'!C29</f>
        <v>366351</v>
      </c>
      <c r="E29" s="32">
        <f t="shared" si="1"/>
        <v>42335</v>
      </c>
      <c r="F29" s="71"/>
      <c r="G29" s="71"/>
      <c r="H29" s="72"/>
      <c r="I29" s="31">
        <f t="shared" si="0"/>
        <v>42335</v>
      </c>
      <c r="J29" s="40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2"/>
      <c r="Y29" s="62">
        <f t="shared" si="2"/>
        <v>0</v>
      </c>
    </row>
    <row r="30" spans="1:25" x14ac:dyDescent="0.25">
      <c r="B30" s="46"/>
      <c r="C30" s="47"/>
      <c r="E30" s="32">
        <f t="shared" si="1"/>
        <v>42336</v>
      </c>
      <c r="F30" s="29">
        <v>8567</v>
      </c>
      <c r="G30" s="29"/>
      <c r="H30" s="72" t="s">
        <v>110</v>
      </c>
      <c r="I30" s="31">
        <f t="shared" si="0"/>
        <v>42336</v>
      </c>
      <c r="J30" s="40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2"/>
      <c r="Y30" s="62">
        <f t="shared" si="2"/>
        <v>0</v>
      </c>
    </row>
    <row r="31" spans="1:25" x14ac:dyDescent="0.25">
      <c r="B31" s="43"/>
      <c r="C31" s="48"/>
      <c r="E31" s="32">
        <f t="shared" si="1"/>
        <v>42337</v>
      </c>
      <c r="F31" s="29">
        <v>8140</v>
      </c>
      <c r="G31" s="29"/>
      <c r="H31" s="72" t="s">
        <v>3</v>
      </c>
      <c r="I31" s="31">
        <f t="shared" si="0"/>
        <v>42337</v>
      </c>
      <c r="J31" s="40">
        <v>14</v>
      </c>
      <c r="K31" s="41">
        <v>14</v>
      </c>
      <c r="L31" s="41">
        <v>5</v>
      </c>
      <c r="M31" s="41">
        <v>62</v>
      </c>
      <c r="N31" s="41">
        <v>17</v>
      </c>
      <c r="O31" s="41">
        <v>12</v>
      </c>
      <c r="P31" s="41">
        <v>5</v>
      </c>
      <c r="Q31" s="41">
        <v>27</v>
      </c>
      <c r="R31" s="41">
        <v>66</v>
      </c>
      <c r="S31" s="41">
        <v>8</v>
      </c>
      <c r="T31" s="41">
        <v>13</v>
      </c>
      <c r="U31" s="41">
        <v>9</v>
      </c>
      <c r="V31" s="41">
        <v>14</v>
      </c>
      <c r="W31" s="41">
        <v>13</v>
      </c>
      <c r="X31" s="42">
        <v>17</v>
      </c>
      <c r="Y31" s="62">
        <f t="shared" si="2"/>
        <v>296</v>
      </c>
    </row>
    <row r="32" spans="1:25" ht="15.75" thickBot="1" x14ac:dyDescent="0.3">
      <c r="B32" s="43"/>
      <c r="C32" s="48"/>
      <c r="E32" s="32">
        <f t="shared" si="1"/>
        <v>42338</v>
      </c>
      <c r="F32" s="29"/>
      <c r="G32" s="29"/>
      <c r="H32" s="120"/>
      <c r="I32" s="31">
        <f t="shared" si="0"/>
        <v>42338</v>
      </c>
      <c r="J32" s="40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2"/>
      <c r="Y32" s="62">
        <f t="shared" si="2"/>
        <v>0</v>
      </c>
    </row>
    <row r="33" spans="2:25" ht="15.75" hidden="1" thickBot="1" x14ac:dyDescent="0.3">
      <c r="B33" s="33"/>
      <c r="C33" s="34"/>
      <c r="E33" s="32">
        <f t="shared" si="1"/>
        <v>42339</v>
      </c>
      <c r="F33" s="29"/>
      <c r="G33" s="29"/>
      <c r="H33" s="72"/>
      <c r="I33" s="31">
        <f t="shared" si="0"/>
        <v>42339</v>
      </c>
      <c r="J33" s="40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2"/>
      <c r="Y33" s="62">
        <f t="shared" si="2"/>
        <v>0</v>
      </c>
    </row>
    <row r="34" spans="2:25" ht="15.75" thickBot="1" x14ac:dyDescent="0.3">
      <c r="B34" s="43"/>
      <c r="C34" s="48"/>
      <c r="E34" s="19" t="s">
        <v>6</v>
      </c>
      <c r="F34" s="6">
        <f>SUM(F3:F33)</f>
        <v>41227</v>
      </c>
      <c r="G34" s="6">
        <f>SUM(G3:G33)</f>
        <v>1330</v>
      </c>
      <c r="H34" s="2"/>
      <c r="I34" s="22" t="s">
        <v>33</v>
      </c>
      <c r="J34" s="24">
        <f t="shared" ref="J34:Y34" si="3">SUM(J3:J33)</f>
        <v>47</v>
      </c>
      <c r="K34" s="24">
        <f t="shared" si="3"/>
        <v>65</v>
      </c>
      <c r="L34" s="24">
        <f t="shared" si="3"/>
        <v>15</v>
      </c>
      <c r="M34" s="24">
        <f t="shared" si="3"/>
        <v>282</v>
      </c>
      <c r="N34" s="24">
        <f t="shared" si="3"/>
        <v>102</v>
      </c>
      <c r="O34" s="24">
        <f t="shared" si="3"/>
        <v>54</v>
      </c>
      <c r="P34" s="24">
        <f t="shared" si="3"/>
        <v>41</v>
      </c>
      <c r="Q34" s="24">
        <f t="shared" si="3"/>
        <v>59</v>
      </c>
      <c r="R34" s="24">
        <f t="shared" si="3"/>
        <v>89</v>
      </c>
      <c r="S34" s="24">
        <f t="shared" si="3"/>
        <v>32</v>
      </c>
      <c r="T34" s="24">
        <f t="shared" si="3"/>
        <v>64</v>
      </c>
      <c r="U34" s="24">
        <f t="shared" si="3"/>
        <v>54</v>
      </c>
      <c r="V34" s="24">
        <f t="shared" si="3"/>
        <v>53</v>
      </c>
      <c r="W34" s="24">
        <f t="shared" si="3"/>
        <v>98</v>
      </c>
      <c r="X34" s="24">
        <f t="shared" si="3"/>
        <v>101</v>
      </c>
      <c r="Y34" s="24">
        <f t="shared" si="3"/>
        <v>1156</v>
      </c>
    </row>
    <row r="35" spans="2:25" ht="15.75" thickBot="1" x14ac:dyDescent="0.3">
      <c r="B35" s="43"/>
      <c r="C35" s="48"/>
      <c r="E35" s="136" t="s">
        <v>37</v>
      </c>
      <c r="F35" s="137"/>
      <c r="G35" s="1">
        <f>F34-G34</f>
        <v>39897</v>
      </c>
      <c r="I35"/>
    </row>
    <row r="36" spans="2:25" ht="24" x14ac:dyDescent="0.25">
      <c r="B36" s="43"/>
      <c r="C36" s="48"/>
      <c r="J36" s="8" t="s">
        <v>22</v>
      </c>
      <c r="K36" s="8" t="s">
        <v>5</v>
      </c>
      <c r="L36" s="8" t="s">
        <v>13</v>
      </c>
      <c r="M36" s="8" t="s">
        <v>14</v>
      </c>
      <c r="N36" s="8" t="s">
        <v>15</v>
      </c>
      <c r="O36" s="8" t="s">
        <v>16</v>
      </c>
      <c r="P36" s="8" t="s">
        <v>17</v>
      </c>
      <c r="Q36" s="8" t="s">
        <v>23</v>
      </c>
      <c r="R36" s="8" t="s">
        <v>24</v>
      </c>
      <c r="S36" s="8" t="s">
        <v>26</v>
      </c>
      <c r="T36" s="8" t="s">
        <v>19</v>
      </c>
      <c r="U36" s="8" t="s">
        <v>20</v>
      </c>
      <c r="V36" s="8" t="s">
        <v>21</v>
      </c>
      <c r="W36" s="8" t="s">
        <v>36</v>
      </c>
      <c r="X36" s="8" t="s">
        <v>18</v>
      </c>
    </row>
    <row r="37" spans="2:25" ht="15.75" thickBot="1" x14ac:dyDescent="0.3">
      <c r="B37" s="43"/>
      <c r="C37" s="48"/>
      <c r="J37" s="9">
        <f>J34</f>
        <v>47</v>
      </c>
      <c r="K37" s="9">
        <f t="shared" ref="K37:X37" si="4">K34</f>
        <v>65</v>
      </c>
      <c r="L37" s="9">
        <f t="shared" si="4"/>
        <v>15</v>
      </c>
      <c r="M37" s="9">
        <f t="shared" si="4"/>
        <v>282</v>
      </c>
      <c r="N37" s="9">
        <f t="shared" si="4"/>
        <v>102</v>
      </c>
      <c r="O37" s="9">
        <f t="shared" si="4"/>
        <v>54</v>
      </c>
      <c r="P37" s="9">
        <f t="shared" si="4"/>
        <v>41</v>
      </c>
      <c r="Q37" s="9">
        <f t="shared" si="4"/>
        <v>59</v>
      </c>
      <c r="R37" s="9">
        <f t="shared" si="4"/>
        <v>89</v>
      </c>
      <c r="S37" s="9">
        <f t="shared" si="4"/>
        <v>32</v>
      </c>
      <c r="T37" s="9">
        <f t="shared" si="4"/>
        <v>64</v>
      </c>
      <c r="U37" s="9">
        <f t="shared" si="4"/>
        <v>54</v>
      </c>
      <c r="V37" s="9">
        <f t="shared" si="4"/>
        <v>53</v>
      </c>
      <c r="W37" s="9">
        <f t="shared" si="4"/>
        <v>98</v>
      </c>
      <c r="X37" s="9">
        <f t="shared" si="4"/>
        <v>101</v>
      </c>
    </row>
    <row r="38" spans="2:25" x14ac:dyDescent="0.25">
      <c r="B38" s="45"/>
      <c r="C38" s="45"/>
      <c r="I38" s="21"/>
      <c r="J38" s="10">
        <f>J34*'[3]Себестоимость '!D17</f>
        <v>437.49166666666667</v>
      </c>
      <c r="K38" s="10">
        <f>K34*'[3]Себестоимость '!E17</f>
        <v>539.06666666666661</v>
      </c>
      <c r="L38" s="10">
        <f>L34*'[3]Себестоимость '!F17</f>
        <v>133.17500000000001</v>
      </c>
      <c r="M38" s="10">
        <f>M34*'[3]Себестоимость '!G17</f>
        <v>2708.1399999999994</v>
      </c>
      <c r="N38" s="10">
        <f>N34*'[3]Себестоимость '!H17</f>
        <v>929.45799999999986</v>
      </c>
      <c r="O38" s="10">
        <f>O34*'[3]Себестоимость '!I17</f>
        <v>195.66</v>
      </c>
      <c r="P38" s="10" t="e">
        <f>P34*'[3]Себестоимость '!J17</f>
        <v>#REF!</v>
      </c>
      <c r="Q38" s="10">
        <f>Q34*'[3]Себестоимость '!K17</f>
        <v>189.98</v>
      </c>
      <c r="R38" s="10">
        <f>R34*'[3]Себестоимость '!L17</f>
        <v>403.17</v>
      </c>
      <c r="S38" s="10">
        <f>S34*'[3]Себестоимость '!M17</f>
        <v>109.664</v>
      </c>
      <c r="T38" s="10">
        <f>T34*'[3]Себестоимость '!N17</f>
        <v>237.12</v>
      </c>
      <c r="U38" s="10">
        <f>U34*'[3]Себестоимость '!O17</f>
        <v>276.21000000000004</v>
      </c>
      <c r="V38" s="10">
        <f>V34*'[3]Себестоимость '!P17</f>
        <v>234.79</v>
      </c>
      <c r="W38" s="10">
        <f>W34*'[3]Себестоимость '!Q17</f>
        <v>476.76999999999992</v>
      </c>
      <c r="X38" s="10">
        <f>X34*'[3]Себестоимость '!R17</f>
        <v>477.22499999999997</v>
      </c>
      <c r="Y38" s="73" t="s">
        <v>30</v>
      </c>
    </row>
    <row r="39" spans="2:25" ht="15.75" thickBot="1" x14ac:dyDescent="0.3">
      <c r="B39" s="138"/>
      <c r="C39" s="138"/>
      <c r="Y39" s="74" t="s">
        <v>29</v>
      </c>
    </row>
    <row r="40" spans="2:25" x14ac:dyDescent="0.25">
      <c r="B40" s="46"/>
      <c r="C40" s="47"/>
    </row>
    <row r="41" spans="2:25" x14ac:dyDescent="0.25">
      <c r="B41" s="43"/>
      <c r="C41" s="48"/>
    </row>
    <row r="42" spans="2:25" x14ac:dyDescent="0.25">
      <c r="B42" s="45"/>
      <c r="C42" s="45"/>
    </row>
    <row r="43" spans="2:25" x14ac:dyDescent="0.25">
      <c r="B43" s="138"/>
      <c r="C43" s="138"/>
    </row>
    <row r="44" spans="2:25" x14ac:dyDescent="0.25">
      <c r="B44" s="33"/>
      <c r="C44" s="34"/>
    </row>
    <row r="45" spans="2:25" x14ac:dyDescent="0.25">
      <c r="B45" s="43"/>
      <c r="C45" s="44"/>
    </row>
  </sheetData>
  <mergeCells count="10">
    <mergeCell ref="A23:A28"/>
    <mergeCell ref="E35:F35"/>
    <mergeCell ref="B39:C39"/>
    <mergeCell ref="B43:C43"/>
    <mergeCell ref="A6:A16"/>
    <mergeCell ref="B1:C1"/>
    <mergeCell ref="E1:H1"/>
    <mergeCell ref="I1:I2"/>
    <mergeCell ref="Y1:Y2"/>
    <mergeCell ref="B2:C2"/>
  </mergeCells>
  <conditionalFormatting sqref="Y3:Y33">
    <cfRule type="cellIs" dxfId="14" priority="6" operator="equal">
      <formula>0</formula>
    </cfRule>
  </conditionalFormatting>
  <conditionalFormatting sqref="E3:E33">
    <cfRule type="cellIs" dxfId="13" priority="5" operator="equal">
      <formula>$Z$1</formula>
    </cfRule>
  </conditionalFormatting>
  <conditionalFormatting sqref="I3:I33">
    <cfRule type="cellIs" dxfId="12" priority="4" operator="equal">
      <formula>$Z$1</formula>
    </cfRule>
  </conditionalFormatting>
  <conditionalFormatting sqref="I34">
    <cfRule type="expression" dxfId="11" priority="3">
      <formula>$E$3:$E$32=TODAY()</formula>
    </cfRule>
  </conditionalFormatting>
  <conditionalFormatting sqref="I34">
    <cfRule type="cellIs" dxfId="10" priority="2" operator="equal">
      <formula>$Z$1</formula>
    </cfRule>
  </conditionalFormatting>
  <conditionalFormatting sqref="E28:F28 I28:Y28 E3:Y27 E29:Y33">
    <cfRule type="expression" dxfId="9" priority="7">
      <formula>$E3=$Z$1</formula>
    </cfRule>
  </conditionalFormatting>
  <conditionalFormatting sqref="G28:H28">
    <cfRule type="expression" dxfId="8" priority="1">
      <formula>$E28=$Z$1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Z45"/>
  <sheetViews>
    <sheetView zoomScale="85" zoomScaleNormal="85" workbookViewId="0">
      <pane ySplit="2" topLeftCell="A3" activePane="bottomLeft" state="frozen"/>
      <selection activeCell="C15" sqref="C15"/>
      <selection pane="bottomLeft" activeCell="C11" sqref="C11"/>
    </sheetView>
  </sheetViews>
  <sheetFormatPr defaultRowHeight="15" x14ac:dyDescent="0.25"/>
  <cols>
    <col min="1" max="1" width="6.5703125" customWidth="1"/>
    <col min="2" max="2" width="30.42578125" bestFit="1" customWidth="1"/>
    <col min="3" max="3" width="15.28515625" customWidth="1"/>
    <col min="5" max="5" width="8.42578125" bestFit="1" customWidth="1"/>
    <col min="6" max="6" width="12.7109375" bestFit="1" customWidth="1"/>
    <col min="7" max="7" width="12.140625" bestFit="1" customWidth="1"/>
    <col min="8" max="8" width="48.42578125" bestFit="1" customWidth="1"/>
    <col min="9" max="9" width="8.7109375" style="20" bestFit="1" customWidth="1"/>
    <col min="10" max="10" width="12.28515625" customWidth="1"/>
    <col min="11" max="11" width="11.28515625" customWidth="1"/>
    <col min="12" max="12" width="10.140625" customWidth="1"/>
    <col min="13" max="16" width="9.28515625" bestFit="1" customWidth="1"/>
    <col min="17" max="17" width="9.85546875" bestFit="1" customWidth="1"/>
    <col min="18" max="22" width="9.28515625" bestFit="1" customWidth="1"/>
    <col min="23" max="23" width="11" customWidth="1"/>
    <col min="24" max="24" width="10.5703125" bestFit="1" customWidth="1"/>
    <col min="25" max="25" width="9.7109375" style="5" customWidth="1"/>
    <col min="26" max="26" width="10.28515625" bestFit="1" customWidth="1"/>
    <col min="249" max="249" width="30.42578125" bestFit="1" customWidth="1"/>
    <col min="250" max="250" width="12.140625" customWidth="1"/>
    <col min="251" max="251" width="29.140625" bestFit="1" customWidth="1"/>
    <col min="252" max="252" width="12.5703125" customWidth="1"/>
    <col min="254" max="254" width="24" customWidth="1"/>
    <col min="255" max="255" width="22.28515625" customWidth="1"/>
    <col min="257" max="257" width="10.140625" bestFit="1" customWidth="1"/>
    <col min="258" max="258" width="12.7109375" bestFit="1" customWidth="1"/>
    <col min="259" max="259" width="12.140625" bestFit="1" customWidth="1"/>
    <col min="260" max="260" width="24.42578125" bestFit="1" customWidth="1"/>
    <col min="505" max="505" width="30.42578125" bestFit="1" customWidth="1"/>
    <col min="506" max="506" width="12.140625" customWidth="1"/>
    <col min="507" max="507" width="29.140625" bestFit="1" customWidth="1"/>
    <col min="508" max="508" width="12.5703125" customWidth="1"/>
    <col min="510" max="510" width="24" customWidth="1"/>
    <col min="511" max="511" width="22.28515625" customWidth="1"/>
    <col min="513" max="513" width="10.140625" bestFit="1" customWidth="1"/>
    <col min="514" max="514" width="12.7109375" bestFit="1" customWidth="1"/>
    <col min="515" max="515" width="12.140625" bestFit="1" customWidth="1"/>
    <col min="516" max="516" width="24.42578125" bestFit="1" customWidth="1"/>
    <col min="761" max="761" width="30.42578125" bestFit="1" customWidth="1"/>
    <col min="762" max="762" width="12.140625" customWidth="1"/>
    <col min="763" max="763" width="29.140625" bestFit="1" customWidth="1"/>
    <col min="764" max="764" width="12.5703125" customWidth="1"/>
    <col min="766" max="766" width="24" customWidth="1"/>
    <col min="767" max="767" width="22.28515625" customWidth="1"/>
    <col min="769" max="769" width="10.140625" bestFit="1" customWidth="1"/>
    <col min="770" max="770" width="12.7109375" bestFit="1" customWidth="1"/>
    <col min="771" max="771" width="12.140625" bestFit="1" customWidth="1"/>
    <col min="772" max="772" width="24.42578125" bestFit="1" customWidth="1"/>
    <col min="1017" max="1017" width="30.42578125" bestFit="1" customWidth="1"/>
    <col min="1018" max="1018" width="12.140625" customWidth="1"/>
    <col min="1019" max="1019" width="29.140625" bestFit="1" customWidth="1"/>
    <col min="1020" max="1020" width="12.5703125" customWidth="1"/>
    <col min="1022" max="1022" width="24" customWidth="1"/>
    <col min="1023" max="1023" width="22.28515625" customWidth="1"/>
    <col min="1025" max="1025" width="10.140625" bestFit="1" customWidth="1"/>
    <col min="1026" max="1026" width="12.7109375" bestFit="1" customWidth="1"/>
    <col min="1027" max="1027" width="12.140625" bestFit="1" customWidth="1"/>
    <col min="1028" max="1028" width="24.42578125" bestFit="1" customWidth="1"/>
    <col min="1273" max="1273" width="30.42578125" bestFit="1" customWidth="1"/>
    <col min="1274" max="1274" width="12.140625" customWidth="1"/>
    <col min="1275" max="1275" width="29.140625" bestFit="1" customWidth="1"/>
    <col min="1276" max="1276" width="12.5703125" customWidth="1"/>
    <col min="1278" max="1278" width="24" customWidth="1"/>
    <col min="1279" max="1279" width="22.28515625" customWidth="1"/>
    <col min="1281" max="1281" width="10.140625" bestFit="1" customWidth="1"/>
    <col min="1282" max="1282" width="12.7109375" bestFit="1" customWidth="1"/>
    <col min="1283" max="1283" width="12.140625" bestFit="1" customWidth="1"/>
    <col min="1284" max="1284" width="24.42578125" bestFit="1" customWidth="1"/>
    <col min="1529" max="1529" width="30.42578125" bestFit="1" customWidth="1"/>
    <col min="1530" max="1530" width="12.140625" customWidth="1"/>
    <col min="1531" max="1531" width="29.140625" bestFit="1" customWidth="1"/>
    <col min="1532" max="1532" width="12.5703125" customWidth="1"/>
    <col min="1534" max="1534" width="24" customWidth="1"/>
    <col min="1535" max="1535" width="22.28515625" customWidth="1"/>
    <col min="1537" max="1537" width="10.140625" bestFit="1" customWidth="1"/>
    <col min="1538" max="1538" width="12.7109375" bestFit="1" customWidth="1"/>
    <col min="1539" max="1539" width="12.140625" bestFit="1" customWidth="1"/>
    <col min="1540" max="1540" width="24.42578125" bestFit="1" customWidth="1"/>
    <col min="1785" max="1785" width="30.42578125" bestFit="1" customWidth="1"/>
    <col min="1786" max="1786" width="12.140625" customWidth="1"/>
    <col min="1787" max="1787" width="29.140625" bestFit="1" customWidth="1"/>
    <col min="1788" max="1788" width="12.5703125" customWidth="1"/>
    <col min="1790" max="1790" width="24" customWidth="1"/>
    <col min="1791" max="1791" width="22.28515625" customWidth="1"/>
    <col min="1793" max="1793" width="10.140625" bestFit="1" customWidth="1"/>
    <col min="1794" max="1794" width="12.7109375" bestFit="1" customWidth="1"/>
    <col min="1795" max="1795" width="12.140625" bestFit="1" customWidth="1"/>
    <col min="1796" max="1796" width="24.42578125" bestFit="1" customWidth="1"/>
    <col min="2041" max="2041" width="30.42578125" bestFit="1" customWidth="1"/>
    <col min="2042" max="2042" width="12.140625" customWidth="1"/>
    <col min="2043" max="2043" width="29.140625" bestFit="1" customWidth="1"/>
    <col min="2044" max="2044" width="12.5703125" customWidth="1"/>
    <col min="2046" max="2046" width="24" customWidth="1"/>
    <col min="2047" max="2047" width="22.28515625" customWidth="1"/>
    <col min="2049" max="2049" width="10.140625" bestFit="1" customWidth="1"/>
    <col min="2050" max="2050" width="12.7109375" bestFit="1" customWidth="1"/>
    <col min="2051" max="2051" width="12.140625" bestFit="1" customWidth="1"/>
    <col min="2052" max="2052" width="24.42578125" bestFit="1" customWidth="1"/>
    <col min="2297" max="2297" width="30.42578125" bestFit="1" customWidth="1"/>
    <col min="2298" max="2298" width="12.140625" customWidth="1"/>
    <col min="2299" max="2299" width="29.140625" bestFit="1" customWidth="1"/>
    <col min="2300" max="2300" width="12.5703125" customWidth="1"/>
    <col min="2302" max="2302" width="24" customWidth="1"/>
    <col min="2303" max="2303" width="22.28515625" customWidth="1"/>
    <col min="2305" max="2305" width="10.140625" bestFit="1" customWidth="1"/>
    <col min="2306" max="2306" width="12.7109375" bestFit="1" customWidth="1"/>
    <col min="2307" max="2307" width="12.140625" bestFit="1" customWidth="1"/>
    <col min="2308" max="2308" width="24.42578125" bestFit="1" customWidth="1"/>
    <col min="2553" max="2553" width="30.42578125" bestFit="1" customWidth="1"/>
    <col min="2554" max="2554" width="12.140625" customWidth="1"/>
    <col min="2555" max="2555" width="29.140625" bestFit="1" customWidth="1"/>
    <col min="2556" max="2556" width="12.5703125" customWidth="1"/>
    <col min="2558" max="2558" width="24" customWidth="1"/>
    <col min="2559" max="2559" width="22.28515625" customWidth="1"/>
    <col min="2561" max="2561" width="10.140625" bestFit="1" customWidth="1"/>
    <col min="2562" max="2562" width="12.7109375" bestFit="1" customWidth="1"/>
    <col min="2563" max="2563" width="12.140625" bestFit="1" customWidth="1"/>
    <col min="2564" max="2564" width="24.42578125" bestFit="1" customWidth="1"/>
    <col min="2809" max="2809" width="30.42578125" bestFit="1" customWidth="1"/>
    <col min="2810" max="2810" width="12.140625" customWidth="1"/>
    <col min="2811" max="2811" width="29.140625" bestFit="1" customWidth="1"/>
    <col min="2812" max="2812" width="12.5703125" customWidth="1"/>
    <col min="2814" max="2814" width="24" customWidth="1"/>
    <col min="2815" max="2815" width="22.28515625" customWidth="1"/>
    <col min="2817" max="2817" width="10.140625" bestFit="1" customWidth="1"/>
    <col min="2818" max="2818" width="12.7109375" bestFit="1" customWidth="1"/>
    <col min="2819" max="2819" width="12.140625" bestFit="1" customWidth="1"/>
    <col min="2820" max="2820" width="24.42578125" bestFit="1" customWidth="1"/>
    <col min="3065" max="3065" width="30.42578125" bestFit="1" customWidth="1"/>
    <col min="3066" max="3066" width="12.140625" customWidth="1"/>
    <col min="3067" max="3067" width="29.140625" bestFit="1" customWidth="1"/>
    <col min="3068" max="3068" width="12.5703125" customWidth="1"/>
    <col min="3070" max="3070" width="24" customWidth="1"/>
    <col min="3071" max="3071" width="22.28515625" customWidth="1"/>
    <col min="3073" max="3073" width="10.140625" bestFit="1" customWidth="1"/>
    <col min="3074" max="3074" width="12.7109375" bestFit="1" customWidth="1"/>
    <col min="3075" max="3075" width="12.140625" bestFit="1" customWidth="1"/>
    <col min="3076" max="3076" width="24.42578125" bestFit="1" customWidth="1"/>
    <col min="3321" max="3321" width="30.42578125" bestFit="1" customWidth="1"/>
    <col min="3322" max="3322" width="12.140625" customWidth="1"/>
    <col min="3323" max="3323" width="29.140625" bestFit="1" customWidth="1"/>
    <col min="3324" max="3324" width="12.5703125" customWidth="1"/>
    <col min="3326" max="3326" width="24" customWidth="1"/>
    <col min="3327" max="3327" width="22.28515625" customWidth="1"/>
    <col min="3329" max="3329" width="10.140625" bestFit="1" customWidth="1"/>
    <col min="3330" max="3330" width="12.7109375" bestFit="1" customWidth="1"/>
    <col min="3331" max="3331" width="12.140625" bestFit="1" customWidth="1"/>
    <col min="3332" max="3332" width="24.42578125" bestFit="1" customWidth="1"/>
    <col min="3577" max="3577" width="30.42578125" bestFit="1" customWidth="1"/>
    <col min="3578" max="3578" width="12.140625" customWidth="1"/>
    <col min="3579" max="3579" width="29.140625" bestFit="1" customWidth="1"/>
    <col min="3580" max="3580" width="12.5703125" customWidth="1"/>
    <col min="3582" max="3582" width="24" customWidth="1"/>
    <col min="3583" max="3583" width="22.28515625" customWidth="1"/>
    <col min="3585" max="3585" width="10.140625" bestFit="1" customWidth="1"/>
    <col min="3586" max="3586" width="12.7109375" bestFit="1" customWidth="1"/>
    <col min="3587" max="3587" width="12.140625" bestFit="1" customWidth="1"/>
    <col min="3588" max="3588" width="24.42578125" bestFit="1" customWidth="1"/>
    <col min="3833" max="3833" width="30.42578125" bestFit="1" customWidth="1"/>
    <col min="3834" max="3834" width="12.140625" customWidth="1"/>
    <col min="3835" max="3835" width="29.140625" bestFit="1" customWidth="1"/>
    <col min="3836" max="3836" width="12.5703125" customWidth="1"/>
    <col min="3838" max="3838" width="24" customWidth="1"/>
    <col min="3839" max="3839" width="22.28515625" customWidth="1"/>
    <col min="3841" max="3841" width="10.140625" bestFit="1" customWidth="1"/>
    <col min="3842" max="3842" width="12.7109375" bestFit="1" customWidth="1"/>
    <col min="3843" max="3843" width="12.140625" bestFit="1" customWidth="1"/>
    <col min="3844" max="3844" width="24.42578125" bestFit="1" customWidth="1"/>
    <col min="4089" max="4089" width="30.42578125" bestFit="1" customWidth="1"/>
    <col min="4090" max="4090" width="12.140625" customWidth="1"/>
    <col min="4091" max="4091" width="29.140625" bestFit="1" customWidth="1"/>
    <col min="4092" max="4092" width="12.5703125" customWidth="1"/>
    <col min="4094" max="4094" width="24" customWidth="1"/>
    <col min="4095" max="4095" width="22.28515625" customWidth="1"/>
    <col min="4097" max="4097" width="10.140625" bestFit="1" customWidth="1"/>
    <col min="4098" max="4098" width="12.7109375" bestFit="1" customWidth="1"/>
    <col min="4099" max="4099" width="12.140625" bestFit="1" customWidth="1"/>
    <col min="4100" max="4100" width="24.42578125" bestFit="1" customWidth="1"/>
    <col min="4345" max="4345" width="30.42578125" bestFit="1" customWidth="1"/>
    <col min="4346" max="4346" width="12.140625" customWidth="1"/>
    <col min="4347" max="4347" width="29.140625" bestFit="1" customWidth="1"/>
    <col min="4348" max="4348" width="12.5703125" customWidth="1"/>
    <col min="4350" max="4350" width="24" customWidth="1"/>
    <col min="4351" max="4351" width="22.28515625" customWidth="1"/>
    <col min="4353" max="4353" width="10.140625" bestFit="1" customWidth="1"/>
    <col min="4354" max="4354" width="12.7109375" bestFit="1" customWidth="1"/>
    <col min="4355" max="4355" width="12.140625" bestFit="1" customWidth="1"/>
    <col min="4356" max="4356" width="24.42578125" bestFit="1" customWidth="1"/>
    <col min="4601" max="4601" width="30.42578125" bestFit="1" customWidth="1"/>
    <col min="4602" max="4602" width="12.140625" customWidth="1"/>
    <col min="4603" max="4603" width="29.140625" bestFit="1" customWidth="1"/>
    <col min="4604" max="4604" width="12.5703125" customWidth="1"/>
    <col min="4606" max="4606" width="24" customWidth="1"/>
    <col min="4607" max="4607" width="22.28515625" customWidth="1"/>
    <col min="4609" max="4609" width="10.140625" bestFit="1" customWidth="1"/>
    <col min="4610" max="4610" width="12.7109375" bestFit="1" customWidth="1"/>
    <col min="4611" max="4611" width="12.140625" bestFit="1" customWidth="1"/>
    <col min="4612" max="4612" width="24.42578125" bestFit="1" customWidth="1"/>
    <col min="4857" max="4857" width="30.42578125" bestFit="1" customWidth="1"/>
    <col min="4858" max="4858" width="12.140625" customWidth="1"/>
    <col min="4859" max="4859" width="29.140625" bestFit="1" customWidth="1"/>
    <col min="4860" max="4860" width="12.5703125" customWidth="1"/>
    <col min="4862" max="4862" width="24" customWidth="1"/>
    <col min="4863" max="4863" width="22.28515625" customWidth="1"/>
    <col min="4865" max="4865" width="10.140625" bestFit="1" customWidth="1"/>
    <col min="4866" max="4866" width="12.7109375" bestFit="1" customWidth="1"/>
    <col min="4867" max="4867" width="12.140625" bestFit="1" customWidth="1"/>
    <col min="4868" max="4868" width="24.42578125" bestFit="1" customWidth="1"/>
    <col min="5113" max="5113" width="30.42578125" bestFit="1" customWidth="1"/>
    <col min="5114" max="5114" width="12.140625" customWidth="1"/>
    <col min="5115" max="5115" width="29.140625" bestFit="1" customWidth="1"/>
    <col min="5116" max="5116" width="12.5703125" customWidth="1"/>
    <col min="5118" max="5118" width="24" customWidth="1"/>
    <col min="5119" max="5119" width="22.28515625" customWidth="1"/>
    <col min="5121" max="5121" width="10.140625" bestFit="1" customWidth="1"/>
    <col min="5122" max="5122" width="12.7109375" bestFit="1" customWidth="1"/>
    <col min="5123" max="5123" width="12.140625" bestFit="1" customWidth="1"/>
    <col min="5124" max="5124" width="24.42578125" bestFit="1" customWidth="1"/>
    <col min="5369" max="5369" width="30.42578125" bestFit="1" customWidth="1"/>
    <col min="5370" max="5370" width="12.140625" customWidth="1"/>
    <col min="5371" max="5371" width="29.140625" bestFit="1" customWidth="1"/>
    <col min="5372" max="5372" width="12.5703125" customWidth="1"/>
    <col min="5374" max="5374" width="24" customWidth="1"/>
    <col min="5375" max="5375" width="22.28515625" customWidth="1"/>
    <col min="5377" max="5377" width="10.140625" bestFit="1" customWidth="1"/>
    <col min="5378" max="5378" width="12.7109375" bestFit="1" customWidth="1"/>
    <col min="5379" max="5379" width="12.140625" bestFit="1" customWidth="1"/>
    <col min="5380" max="5380" width="24.42578125" bestFit="1" customWidth="1"/>
    <col min="5625" max="5625" width="30.42578125" bestFit="1" customWidth="1"/>
    <col min="5626" max="5626" width="12.140625" customWidth="1"/>
    <col min="5627" max="5627" width="29.140625" bestFit="1" customWidth="1"/>
    <col min="5628" max="5628" width="12.5703125" customWidth="1"/>
    <col min="5630" max="5630" width="24" customWidth="1"/>
    <col min="5631" max="5631" width="22.28515625" customWidth="1"/>
    <col min="5633" max="5633" width="10.140625" bestFit="1" customWidth="1"/>
    <col min="5634" max="5634" width="12.7109375" bestFit="1" customWidth="1"/>
    <col min="5635" max="5635" width="12.140625" bestFit="1" customWidth="1"/>
    <col min="5636" max="5636" width="24.42578125" bestFit="1" customWidth="1"/>
    <col min="5881" max="5881" width="30.42578125" bestFit="1" customWidth="1"/>
    <col min="5882" max="5882" width="12.140625" customWidth="1"/>
    <col min="5883" max="5883" width="29.140625" bestFit="1" customWidth="1"/>
    <col min="5884" max="5884" width="12.5703125" customWidth="1"/>
    <col min="5886" max="5886" width="24" customWidth="1"/>
    <col min="5887" max="5887" width="22.28515625" customWidth="1"/>
    <col min="5889" max="5889" width="10.140625" bestFit="1" customWidth="1"/>
    <col min="5890" max="5890" width="12.7109375" bestFit="1" customWidth="1"/>
    <col min="5891" max="5891" width="12.140625" bestFit="1" customWidth="1"/>
    <col min="5892" max="5892" width="24.42578125" bestFit="1" customWidth="1"/>
    <col min="6137" max="6137" width="30.42578125" bestFit="1" customWidth="1"/>
    <col min="6138" max="6138" width="12.140625" customWidth="1"/>
    <col min="6139" max="6139" width="29.140625" bestFit="1" customWidth="1"/>
    <col min="6140" max="6140" width="12.5703125" customWidth="1"/>
    <col min="6142" max="6142" width="24" customWidth="1"/>
    <col min="6143" max="6143" width="22.28515625" customWidth="1"/>
    <col min="6145" max="6145" width="10.140625" bestFit="1" customWidth="1"/>
    <col min="6146" max="6146" width="12.7109375" bestFit="1" customWidth="1"/>
    <col min="6147" max="6147" width="12.140625" bestFit="1" customWidth="1"/>
    <col min="6148" max="6148" width="24.42578125" bestFit="1" customWidth="1"/>
    <col min="6393" max="6393" width="30.42578125" bestFit="1" customWidth="1"/>
    <col min="6394" max="6394" width="12.140625" customWidth="1"/>
    <col min="6395" max="6395" width="29.140625" bestFit="1" customWidth="1"/>
    <col min="6396" max="6396" width="12.5703125" customWidth="1"/>
    <col min="6398" max="6398" width="24" customWidth="1"/>
    <col min="6399" max="6399" width="22.28515625" customWidth="1"/>
    <col min="6401" max="6401" width="10.140625" bestFit="1" customWidth="1"/>
    <col min="6402" max="6402" width="12.7109375" bestFit="1" customWidth="1"/>
    <col min="6403" max="6403" width="12.140625" bestFit="1" customWidth="1"/>
    <col min="6404" max="6404" width="24.42578125" bestFit="1" customWidth="1"/>
    <col min="6649" max="6649" width="30.42578125" bestFit="1" customWidth="1"/>
    <col min="6650" max="6650" width="12.140625" customWidth="1"/>
    <col min="6651" max="6651" width="29.140625" bestFit="1" customWidth="1"/>
    <col min="6652" max="6652" width="12.5703125" customWidth="1"/>
    <col min="6654" max="6654" width="24" customWidth="1"/>
    <col min="6655" max="6655" width="22.28515625" customWidth="1"/>
    <col min="6657" max="6657" width="10.140625" bestFit="1" customWidth="1"/>
    <col min="6658" max="6658" width="12.7109375" bestFit="1" customWidth="1"/>
    <col min="6659" max="6659" width="12.140625" bestFit="1" customWidth="1"/>
    <col min="6660" max="6660" width="24.42578125" bestFit="1" customWidth="1"/>
    <col min="6905" max="6905" width="30.42578125" bestFit="1" customWidth="1"/>
    <col min="6906" max="6906" width="12.140625" customWidth="1"/>
    <col min="6907" max="6907" width="29.140625" bestFit="1" customWidth="1"/>
    <col min="6908" max="6908" width="12.5703125" customWidth="1"/>
    <col min="6910" max="6910" width="24" customWidth="1"/>
    <col min="6911" max="6911" width="22.28515625" customWidth="1"/>
    <col min="6913" max="6913" width="10.140625" bestFit="1" customWidth="1"/>
    <col min="6914" max="6914" width="12.7109375" bestFit="1" customWidth="1"/>
    <col min="6915" max="6915" width="12.140625" bestFit="1" customWidth="1"/>
    <col min="6916" max="6916" width="24.42578125" bestFit="1" customWidth="1"/>
    <col min="7161" max="7161" width="30.42578125" bestFit="1" customWidth="1"/>
    <col min="7162" max="7162" width="12.140625" customWidth="1"/>
    <col min="7163" max="7163" width="29.140625" bestFit="1" customWidth="1"/>
    <col min="7164" max="7164" width="12.5703125" customWidth="1"/>
    <col min="7166" max="7166" width="24" customWidth="1"/>
    <col min="7167" max="7167" width="22.28515625" customWidth="1"/>
    <col min="7169" max="7169" width="10.140625" bestFit="1" customWidth="1"/>
    <col min="7170" max="7170" width="12.7109375" bestFit="1" customWidth="1"/>
    <col min="7171" max="7171" width="12.140625" bestFit="1" customWidth="1"/>
    <col min="7172" max="7172" width="24.42578125" bestFit="1" customWidth="1"/>
    <col min="7417" max="7417" width="30.42578125" bestFit="1" customWidth="1"/>
    <col min="7418" max="7418" width="12.140625" customWidth="1"/>
    <col min="7419" max="7419" width="29.140625" bestFit="1" customWidth="1"/>
    <col min="7420" max="7420" width="12.5703125" customWidth="1"/>
    <col min="7422" max="7422" width="24" customWidth="1"/>
    <col min="7423" max="7423" width="22.28515625" customWidth="1"/>
    <col min="7425" max="7425" width="10.140625" bestFit="1" customWidth="1"/>
    <col min="7426" max="7426" width="12.7109375" bestFit="1" customWidth="1"/>
    <col min="7427" max="7427" width="12.140625" bestFit="1" customWidth="1"/>
    <col min="7428" max="7428" width="24.42578125" bestFit="1" customWidth="1"/>
    <col min="7673" max="7673" width="30.42578125" bestFit="1" customWidth="1"/>
    <col min="7674" max="7674" width="12.140625" customWidth="1"/>
    <col min="7675" max="7675" width="29.140625" bestFit="1" customWidth="1"/>
    <col min="7676" max="7676" width="12.5703125" customWidth="1"/>
    <col min="7678" max="7678" width="24" customWidth="1"/>
    <col min="7679" max="7679" width="22.28515625" customWidth="1"/>
    <col min="7681" max="7681" width="10.140625" bestFit="1" customWidth="1"/>
    <col min="7682" max="7682" width="12.7109375" bestFit="1" customWidth="1"/>
    <col min="7683" max="7683" width="12.140625" bestFit="1" customWidth="1"/>
    <col min="7684" max="7684" width="24.42578125" bestFit="1" customWidth="1"/>
    <col min="7929" max="7929" width="30.42578125" bestFit="1" customWidth="1"/>
    <col min="7930" max="7930" width="12.140625" customWidth="1"/>
    <col min="7931" max="7931" width="29.140625" bestFit="1" customWidth="1"/>
    <col min="7932" max="7932" width="12.5703125" customWidth="1"/>
    <col min="7934" max="7934" width="24" customWidth="1"/>
    <col min="7935" max="7935" width="22.28515625" customWidth="1"/>
    <col min="7937" max="7937" width="10.140625" bestFit="1" customWidth="1"/>
    <col min="7938" max="7938" width="12.7109375" bestFit="1" customWidth="1"/>
    <col min="7939" max="7939" width="12.140625" bestFit="1" customWidth="1"/>
    <col min="7940" max="7940" width="24.42578125" bestFit="1" customWidth="1"/>
    <col min="8185" max="8185" width="30.42578125" bestFit="1" customWidth="1"/>
    <col min="8186" max="8186" width="12.140625" customWidth="1"/>
    <col min="8187" max="8187" width="29.140625" bestFit="1" customWidth="1"/>
    <col min="8188" max="8188" width="12.5703125" customWidth="1"/>
    <col min="8190" max="8190" width="24" customWidth="1"/>
    <col min="8191" max="8191" width="22.28515625" customWidth="1"/>
    <col min="8193" max="8193" width="10.140625" bestFit="1" customWidth="1"/>
    <col min="8194" max="8194" width="12.7109375" bestFit="1" customWidth="1"/>
    <col min="8195" max="8195" width="12.140625" bestFit="1" customWidth="1"/>
    <col min="8196" max="8196" width="24.42578125" bestFit="1" customWidth="1"/>
    <col min="8441" max="8441" width="30.42578125" bestFit="1" customWidth="1"/>
    <col min="8442" max="8442" width="12.140625" customWidth="1"/>
    <col min="8443" max="8443" width="29.140625" bestFit="1" customWidth="1"/>
    <col min="8444" max="8444" width="12.5703125" customWidth="1"/>
    <col min="8446" max="8446" width="24" customWidth="1"/>
    <col min="8447" max="8447" width="22.28515625" customWidth="1"/>
    <col min="8449" max="8449" width="10.140625" bestFit="1" customWidth="1"/>
    <col min="8450" max="8450" width="12.7109375" bestFit="1" customWidth="1"/>
    <col min="8451" max="8451" width="12.140625" bestFit="1" customWidth="1"/>
    <col min="8452" max="8452" width="24.42578125" bestFit="1" customWidth="1"/>
    <col min="8697" max="8697" width="30.42578125" bestFit="1" customWidth="1"/>
    <col min="8698" max="8698" width="12.140625" customWidth="1"/>
    <col min="8699" max="8699" width="29.140625" bestFit="1" customWidth="1"/>
    <col min="8700" max="8700" width="12.5703125" customWidth="1"/>
    <col min="8702" max="8702" width="24" customWidth="1"/>
    <col min="8703" max="8703" width="22.28515625" customWidth="1"/>
    <col min="8705" max="8705" width="10.140625" bestFit="1" customWidth="1"/>
    <col min="8706" max="8706" width="12.7109375" bestFit="1" customWidth="1"/>
    <col min="8707" max="8707" width="12.140625" bestFit="1" customWidth="1"/>
    <col min="8708" max="8708" width="24.42578125" bestFit="1" customWidth="1"/>
    <col min="8953" max="8953" width="30.42578125" bestFit="1" customWidth="1"/>
    <col min="8954" max="8954" width="12.140625" customWidth="1"/>
    <col min="8955" max="8955" width="29.140625" bestFit="1" customWidth="1"/>
    <col min="8956" max="8956" width="12.5703125" customWidth="1"/>
    <col min="8958" max="8958" width="24" customWidth="1"/>
    <col min="8959" max="8959" width="22.28515625" customWidth="1"/>
    <col min="8961" max="8961" width="10.140625" bestFit="1" customWidth="1"/>
    <col min="8962" max="8962" width="12.7109375" bestFit="1" customWidth="1"/>
    <col min="8963" max="8963" width="12.140625" bestFit="1" customWidth="1"/>
    <col min="8964" max="8964" width="24.42578125" bestFit="1" customWidth="1"/>
    <col min="9209" max="9209" width="30.42578125" bestFit="1" customWidth="1"/>
    <col min="9210" max="9210" width="12.140625" customWidth="1"/>
    <col min="9211" max="9211" width="29.140625" bestFit="1" customWidth="1"/>
    <col min="9212" max="9212" width="12.5703125" customWidth="1"/>
    <col min="9214" max="9214" width="24" customWidth="1"/>
    <col min="9215" max="9215" width="22.28515625" customWidth="1"/>
    <col min="9217" max="9217" width="10.140625" bestFit="1" customWidth="1"/>
    <col min="9218" max="9218" width="12.7109375" bestFit="1" customWidth="1"/>
    <col min="9219" max="9219" width="12.140625" bestFit="1" customWidth="1"/>
    <col min="9220" max="9220" width="24.42578125" bestFit="1" customWidth="1"/>
    <col min="9465" max="9465" width="30.42578125" bestFit="1" customWidth="1"/>
    <col min="9466" max="9466" width="12.140625" customWidth="1"/>
    <col min="9467" max="9467" width="29.140625" bestFit="1" customWidth="1"/>
    <col min="9468" max="9468" width="12.5703125" customWidth="1"/>
    <col min="9470" max="9470" width="24" customWidth="1"/>
    <col min="9471" max="9471" width="22.28515625" customWidth="1"/>
    <col min="9473" max="9473" width="10.140625" bestFit="1" customWidth="1"/>
    <col min="9474" max="9474" width="12.7109375" bestFit="1" customWidth="1"/>
    <col min="9475" max="9475" width="12.140625" bestFit="1" customWidth="1"/>
    <col min="9476" max="9476" width="24.42578125" bestFit="1" customWidth="1"/>
    <col min="9721" max="9721" width="30.42578125" bestFit="1" customWidth="1"/>
    <col min="9722" max="9722" width="12.140625" customWidth="1"/>
    <col min="9723" max="9723" width="29.140625" bestFit="1" customWidth="1"/>
    <col min="9724" max="9724" width="12.5703125" customWidth="1"/>
    <col min="9726" max="9726" width="24" customWidth="1"/>
    <col min="9727" max="9727" width="22.28515625" customWidth="1"/>
    <col min="9729" max="9729" width="10.140625" bestFit="1" customWidth="1"/>
    <col min="9730" max="9730" width="12.7109375" bestFit="1" customWidth="1"/>
    <col min="9731" max="9731" width="12.140625" bestFit="1" customWidth="1"/>
    <col min="9732" max="9732" width="24.42578125" bestFit="1" customWidth="1"/>
    <col min="9977" max="9977" width="30.42578125" bestFit="1" customWidth="1"/>
    <col min="9978" max="9978" width="12.140625" customWidth="1"/>
    <col min="9979" max="9979" width="29.140625" bestFit="1" customWidth="1"/>
    <col min="9980" max="9980" width="12.5703125" customWidth="1"/>
    <col min="9982" max="9982" width="24" customWidth="1"/>
    <col min="9983" max="9983" width="22.28515625" customWidth="1"/>
    <col min="9985" max="9985" width="10.140625" bestFit="1" customWidth="1"/>
    <col min="9986" max="9986" width="12.7109375" bestFit="1" customWidth="1"/>
    <col min="9987" max="9987" width="12.140625" bestFit="1" customWidth="1"/>
    <col min="9988" max="9988" width="24.42578125" bestFit="1" customWidth="1"/>
    <col min="10233" max="10233" width="30.42578125" bestFit="1" customWidth="1"/>
    <col min="10234" max="10234" width="12.140625" customWidth="1"/>
    <col min="10235" max="10235" width="29.140625" bestFit="1" customWidth="1"/>
    <col min="10236" max="10236" width="12.5703125" customWidth="1"/>
    <col min="10238" max="10238" width="24" customWidth="1"/>
    <col min="10239" max="10239" width="22.28515625" customWidth="1"/>
    <col min="10241" max="10241" width="10.140625" bestFit="1" customWidth="1"/>
    <col min="10242" max="10242" width="12.7109375" bestFit="1" customWidth="1"/>
    <col min="10243" max="10243" width="12.140625" bestFit="1" customWidth="1"/>
    <col min="10244" max="10244" width="24.42578125" bestFit="1" customWidth="1"/>
    <col min="10489" max="10489" width="30.42578125" bestFit="1" customWidth="1"/>
    <col min="10490" max="10490" width="12.140625" customWidth="1"/>
    <col min="10491" max="10491" width="29.140625" bestFit="1" customWidth="1"/>
    <col min="10492" max="10492" width="12.5703125" customWidth="1"/>
    <col min="10494" max="10494" width="24" customWidth="1"/>
    <col min="10495" max="10495" width="22.28515625" customWidth="1"/>
    <col min="10497" max="10497" width="10.140625" bestFit="1" customWidth="1"/>
    <col min="10498" max="10498" width="12.7109375" bestFit="1" customWidth="1"/>
    <col min="10499" max="10499" width="12.140625" bestFit="1" customWidth="1"/>
    <col min="10500" max="10500" width="24.42578125" bestFit="1" customWidth="1"/>
    <col min="10745" max="10745" width="30.42578125" bestFit="1" customWidth="1"/>
    <col min="10746" max="10746" width="12.140625" customWidth="1"/>
    <col min="10747" max="10747" width="29.140625" bestFit="1" customWidth="1"/>
    <col min="10748" max="10748" width="12.5703125" customWidth="1"/>
    <col min="10750" max="10750" width="24" customWidth="1"/>
    <col min="10751" max="10751" width="22.28515625" customWidth="1"/>
    <col min="10753" max="10753" width="10.140625" bestFit="1" customWidth="1"/>
    <col min="10754" max="10754" width="12.7109375" bestFit="1" customWidth="1"/>
    <col min="10755" max="10755" width="12.140625" bestFit="1" customWidth="1"/>
    <col min="10756" max="10756" width="24.42578125" bestFit="1" customWidth="1"/>
    <col min="11001" max="11001" width="30.42578125" bestFit="1" customWidth="1"/>
    <col min="11002" max="11002" width="12.140625" customWidth="1"/>
    <col min="11003" max="11003" width="29.140625" bestFit="1" customWidth="1"/>
    <col min="11004" max="11004" width="12.5703125" customWidth="1"/>
    <col min="11006" max="11006" width="24" customWidth="1"/>
    <col min="11007" max="11007" width="22.28515625" customWidth="1"/>
    <col min="11009" max="11009" width="10.140625" bestFit="1" customWidth="1"/>
    <col min="11010" max="11010" width="12.7109375" bestFit="1" customWidth="1"/>
    <col min="11011" max="11011" width="12.140625" bestFit="1" customWidth="1"/>
    <col min="11012" max="11012" width="24.42578125" bestFit="1" customWidth="1"/>
    <col min="11257" max="11257" width="30.42578125" bestFit="1" customWidth="1"/>
    <col min="11258" max="11258" width="12.140625" customWidth="1"/>
    <col min="11259" max="11259" width="29.140625" bestFit="1" customWidth="1"/>
    <col min="11260" max="11260" width="12.5703125" customWidth="1"/>
    <col min="11262" max="11262" width="24" customWidth="1"/>
    <col min="11263" max="11263" width="22.28515625" customWidth="1"/>
    <col min="11265" max="11265" width="10.140625" bestFit="1" customWidth="1"/>
    <col min="11266" max="11266" width="12.7109375" bestFit="1" customWidth="1"/>
    <col min="11267" max="11267" width="12.140625" bestFit="1" customWidth="1"/>
    <col min="11268" max="11268" width="24.42578125" bestFit="1" customWidth="1"/>
    <col min="11513" max="11513" width="30.42578125" bestFit="1" customWidth="1"/>
    <col min="11514" max="11514" width="12.140625" customWidth="1"/>
    <col min="11515" max="11515" width="29.140625" bestFit="1" customWidth="1"/>
    <col min="11516" max="11516" width="12.5703125" customWidth="1"/>
    <col min="11518" max="11518" width="24" customWidth="1"/>
    <col min="11519" max="11519" width="22.28515625" customWidth="1"/>
    <col min="11521" max="11521" width="10.140625" bestFit="1" customWidth="1"/>
    <col min="11522" max="11522" width="12.7109375" bestFit="1" customWidth="1"/>
    <col min="11523" max="11523" width="12.140625" bestFit="1" customWidth="1"/>
    <col min="11524" max="11524" width="24.42578125" bestFit="1" customWidth="1"/>
    <col min="11769" max="11769" width="30.42578125" bestFit="1" customWidth="1"/>
    <col min="11770" max="11770" width="12.140625" customWidth="1"/>
    <col min="11771" max="11771" width="29.140625" bestFit="1" customWidth="1"/>
    <col min="11772" max="11772" width="12.5703125" customWidth="1"/>
    <col min="11774" max="11774" width="24" customWidth="1"/>
    <col min="11775" max="11775" width="22.28515625" customWidth="1"/>
    <col min="11777" max="11777" width="10.140625" bestFit="1" customWidth="1"/>
    <col min="11778" max="11778" width="12.7109375" bestFit="1" customWidth="1"/>
    <col min="11779" max="11779" width="12.140625" bestFit="1" customWidth="1"/>
    <col min="11780" max="11780" width="24.42578125" bestFit="1" customWidth="1"/>
    <col min="12025" max="12025" width="30.42578125" bestFit="1" customWidth="1"/>
    <col min="12026" max="12026" width="12.140625" customWidth="1"/>
    <col min="12027" max="12027" width="29.140625" bestFit="1" customWidth="1"/>
    <col min="12028" max="12028" width="12.5703125" customWidth="1"/>
    <col min="12030" max="12030" width="24" customWidth="1"/>
    <col min="12031" max="12031" width="22.28515625" customWidth="1"/>
    <col min="12033" max="12033" width="10.140625" bestFit="1" customWidth="1"/>
    <col min="12034" max="12034" width="12.7109375" bestFit="1" customWidth="1"/>
    <col min="12035" max="12035" width="12.140625" bestFit="1" customWidth="1"/>
    <col min="12036" max="12036" width="24.42578125" bestFit="1" customWidth="1"/>
    <col min="12281" max="12281" width="30.42578125" bestFit="1" customWidth="1"/>
    <col min="12282" max="12282" width="12.140625" customWidth="1"/>
    <col min="12283" max="12283" width="29.140625" bestFit="1" customWidth="1"/>
    <col min="12284" max="12284" width="12.5703125" customWidth="1"/>
    <col min="12286" max="12286" width="24" customWidth="1"/>
    <col min="12287" max="12287" width="22.28515625" customWidth="1"/>
    <col min="12289" max="12289" width="10.140625" bestFit="1" customWidth="1"/>
    <col min="12290" max="12290" width="12.7109375" bestFit="1" customWidth="1"/>
    <col min="12291" max="12291" width="12.140625" bestFit="1" customWidth="1"/>
    <col min="12292" max="12292" width="24.42578125" bestFit="1" customWidth="1"/>
    <col min="12537" max="12537" width="30.42578125" bestFit="1" customWidth="1"/>
    <col min="12538" max="12538" width="12.140625" customWidth="1"/>
    <col min="12539" max="12539" width="29.140625" bestFit="1" customWidth="1"/>
    <col min="12540" max="12540" width="12.5703125" customWidth="1"/>
    <col min="12542" max="12542" width="24" customWidth="1"/>
    <col min="12543" max="12543" width="22.28515625" customWidth="1"/>
    <col min="12545" max="12545" width="10.140625" bestFit="1" customWidth="1"/>
    <col min="12546" max="12546" width="12.7109375" bestFit="1" customWidth="1"/>
    <col min="12547" max="12547" width="12.140625" bestFit="1" customWidth="1"/>
    <col min="12548" max="12548" width="24.42578125" bestFit="1" customWidth="1"/>
    <col min="12793" max="12793" width="30.42578125" bestFit="1" customWidth="1"/>
    <col min="12794" max="12794" width="12.140625" customWidth="1"/>
    <col min="12795" max="12795" width="29.140625" bestFit="1" customWidth="1"/>
    <col min="12796" max="12796" width="12.5703125" customWidth="1"/>
    <col min="12798" max="12798" width="24" customWidth="1"/>
    <col min="12799" max="12799" width="22.28515625" customWidth="1"/>
    <col min="12801" max="12801" width="10.140625" bestFit="1" customWidth="1"/>
    <col min="12802" max="12802" width="12.7109375" bestFit="1" customWidth="1"/>
    <col min="12803" max="12803" width="12.140625" bestFit="1" customWidth="1"/>
    <col min="12804" max="12804" width="24.42578125" bestFit="1" customWidth="1"/>
    <col min="13049" max="13049" width="30.42578125" bestFit="1" customWidth="1"/>
    <col min="13050" max="13050" width="12.140625" customWidth="1"/>
    <col min="13051" max="13051" width="29.140625" bestFit="1" customWidth="1"/>
    <col min="13052" max="13052" width="12.5703125" customWidth="1"/>
    <col min="13054" max="13054" width="24" customWidth="1"/>
    <col min="13055" max="13055" width="22.28515625" customWidth="1"/>
    <col min="13057" max="13057" width="10.140625" bestFit="1" customWidth="1"/>
    <col min="13058" max="13058" width="12.7109375" bestFit="1" customWidth="1"/>
    <col min="13059" max="13059" width="12.140625" bestFit="1" customWidth="1"/>
    <col min="13060" max="13060" width="24.42578125" bestFit="1" customWidth="1"/>
    <col min="13305" max="13305" width="30.42578125" bestFit="1" customWidth="1"/>
    <col min="13306" max="13306" width="12.140625" customWidth="1"/>
    <col min="13307" max="13307" width="29.140625" bestFit="1" customWidth="1"/>
    <col min="13308" max="13308" width="12.5703125" customWidth="1"/>
    <col min="13310" max="13310" width="24" customWidth="1"/>
    <col min="13311" max="13311" width="22.28515625" customWidth="1"/>
    <col min="13313" max="13313" width="10.140625" bestFit="1" customWidth="1"/>
    <col min="13314" max="13314" width="12.7109375" bestFit="1" customWidth="1"/>
    <col min="13315" max="13315" width="12.140625" bestFit="1" customWidth="1"/>
    <col min="13316" max="13316" width="24.42578125" bestFit="1" customWidth="1"/>
    <col min="13561" max="13561" width="30.42578125" bestFit="1" customWidth="1"/>
    <col min="13562" max="13562" width="12.140625" customWidth="1"/>
    <col min="13563" max="13563" width="29.140625" bestFit="1" customWidth="1"/>
    <col min="13564" max="13564" width="12.5703125" customWidth="1"/>
    <col min="13566" max="13566" width="24" customWidth="1"/>
    <col min="13567" max="13567" width="22.28515625" customWidth="1"/>
    <col min="13569" max="13569" width="10.140625" bestFit="1" customWidth="1"/>
    <col min="13570" max="13570" width="12.7109375" bestFit="1" customWidth="1"/>
    <col min="13571" max="13571" width="12.140625" bestFit="1" customWidth="1"/>
    <col min="13572" max="13572" width="24.42578125" bestFit="1" customWidth="1"/>
    <col min="13817" max="13817" width="30.42578125" bestFit="1" customWidth="1"/>
    <col min="13818" max="13818" width="12.140625" customWidth="1"/>
    <col min="13819" max="13819" width="29.140625" bestFit="1" customWidth="1"/>
    <col min="13820" max="13820" width="12.5703125" customWidth="1"/>
    <col min="13822" max="13822" width="24" customWidth="1"/>
    <col min="13823" max="13823" width="22.28515625" customWidth="1"/>
    <col min="13825" max="13825" width="10.140625" bestFit="1" customWidth="1"/>
    <col min="13826" max="13826" width="12.7109375" bestFit="1" customWidth="1"/>
    <col min="13827" max="13827" width="12.140625" bestFit="1" customWidth="1"/>
    <col min="13828" max="13828" width="24.42578125" bestFit="1" customWidth="1"/>
    <col min="14073" max="14073" width="30.42578125" bestFit="1" customWidth="1"/>
    <col min="14074" max="14074" width="12.140625" customWidth="1"/>
    <col min="14075" max="14075" width="29.140625" bestFit="1" customWidth="1"/>
    <col min="14076" max="14076" width="12.5703125" customWidth="1"/>
    <col min="14078" max="14078" width="24" customWidth="1"/>
    <col min="14079" max="14079" width="22.28515625" customWidth="1"/>
    <col min="14081" max="14081" width="10.140625" bestFit="1" customWidth="1"/>
    <col min="14082" max="14082" width="12.7109375" bestFit="1" customWidth="1"/>
    <col min="14083" max="14083" width="12.140625" bestFit="1" customWidth="1"/>
    <col min="14084" max="14084" width="24.42578125" bestFit="1" customWidth="1"/>
    <col min="14329" max="14329" width="30.42578125" bestFit="1" customWidth="1"/>
    <col min="14330" max="14330" width="12.140625" customWidth="1"/>
    <col min="14331" max="14331" width="29.140625" bestFit="1" customWidth="1"/>
    <col min="14332" max="14332" width="12.5703125" customWidth="1"/>
    <col min="14334" max="14334" width="24" customWidth="1"/>
    <col min="14335" max="14335" width="22.28515625" customWidth="1"/>
    <col min="14337" max="14337" width="10.140625" bestFit="1" customWidth="1"/>
    <col min="14338" max="14338" width="12.7109375" bestFit="1" customWidth="1"/>
    <col min="14339" max="14339" width="12.140625" bestFit="1" customWidth="1"/>
    <col min="14340" max="14340" width="24.42578125" bestFit="1" customWidth="1"/>
    <col min="14585" max="14585" width="30.42578125" bestFit="1" customWidth="1"/>
    <col min="14586" max="14586" width="12.140625" customWidth="1"/>
    <col min="14587" max="14587" width="29.140625" bestFit="1" customWidth="1"/>
    <col min="14588" max="14588" width="12.5703125" customWidth="1"/>
    <col min="14590" max="14590" width="24" customWidth="1"/>
    <col min="14591" max="14591" width="22.28515625" customWidth="1"/>
    <col min="14593" max="14593" width="10.140625" bestFit="1" customWidth="1"/>
    <col min="14594" max="14594" width="12.7109375" bestFit="1" customWidth="1"/>
    <col min="14595" max="14595" width="12.140625" bestFit="1" customWidth="1"/>
    <col min="14596" max="14596" width="24.42578125" bestFit="1" customWidth="1"/>
    <col min="14841" max="14841" width="30.42578125" bestFit="1" customWidth="1"/>
    <col min="14842" max="14842" width="12.140625" customWidth="1"/>
    <col min="14843" max="14843" width="29.140625" bestFit="1" customWidth="1"/>
    <col min="14844" max="14844" width="12.5703125" customWidth="1"/>
    <col min="14846" max="14846" width="24" customWidth="1"/>
    <col min="14847" max="14847" width="22.28515625" customWidth="1"/>
    <col min="14849" max="14849" width="10.140625" bestFit="1" customWidth="1"/>
    <col min="14850" max="14850" width="12.7109375" bestFit="1" customWidth="1"/>
    <col min="14851" max="14851" width="12.140625" bestFit="1" customWidth="1"/>
    <col min="14852" max="14852" width="24.42578125" bestFit="1" customWidth="1"/>
    <col min="15097" max="15097" width="30.42578125" bestFit="1" customWidth="1"/>
    <col min="15098" max="15098" width="12.140625" customWidth="1"/>
    <col min="15099" max="15099" width="29.140625" bestFit="1" customWidth="1"/>
    <col min="15100" max="15100" width="12.5703125" customWidth="1"/>
    <col min="15102" max="15102" width="24" customWidth="1"/>
    <col min="15103" max="15103" width="22.28515625" customWidth="1"/>
    <col min="15105" max="15105" width="10.140625" bestFit="1" customWidth="1"/>
    <col min="15106" max="15106" width="12.7109375" bestFit="1" customWidth="1"/>
    <col min="15107" max="15107" width="12.140625" bestFit="1" customWidth="1"/>
    <col min="15108" max="15108" width="24.42578125" bestFit="1" customWidth="1"/>
    <col min="15353" max="15353" width="30.42578125" bestFit="1" customWidth="1"/>
    <col min="15354" max="15354" width="12.140625" customWidth="1"/>
    <col min="15355" max="15355" width="29.140625" bestFit="1" customWidth="1"/>
    <col min="15356" max="15356" width="12.5703125" customWidth="1"/>
    <col min="15358" max="15358" width="24" customWidth="1"/>
    <col min="15359" max="15359" width="22.28515625" customWidth="1"/>
    <col min="15361" max="15361" width="10.140625" bestFit="1" customWidth="1"/>
    <col min="15362" max="15362" width="12.7109375" bestFit="1" customWidth="1"/>
    <col min="15363" max="15363" width="12.140625" bestFit="1" customWidth="1"/>
    <col min="15364" max="15364" width="24.42578125" bestFit="1" customWidth="1"/>
    <col min="15609" max="15609" width="30.42578125" bestFit="1" customWidth="1"/>
    <col min="15610" max="15610" width="12.140625" customWidth="1"/>
    <col min="15611" max="15611" width="29.140625" bestFit="1" customWidth="1"/>
    <col min="15612" max="15612" width="12.5703125" customWidth="1"/>
    <col min="15614" max="15614" width="24" customWidth="1"/>
    <col min="15615" max="15615" width="22.28515625" customWidth="1"/>
    <col min="15617" max="15617" width="10.140625" bestFit="1" customWidth="1"/>
    <col min="15618" max="15618" width="12.7109375" bestFit="1" customWidth="1"/>
    <col min="15619" max="15619" width="12.140625" bestFit="1" customWidth="1"/>
    <col min="15620" max="15620" width="24.42578125" bestFit="1" customWidth="1"/>
    <col min="15865" max="15865" width="30.42578125" bestFit="1" customWidth="1"/>
    <col min="15866" max="15866" width="12.140625" customWidth="1"/>
    <col min="15867" max="15867" width="29.140625" bestFit="1" customWidth="1"/>
    <col min="15868" max="15868" width="12.5703125" customWidth="1"/>
    <col min="15870" max="15870" width="24" customWidth="1"/>
    <col min="15871" max="15871" width="22.28515625" customWidth="1"/>
    <col min="15873" max="15873" width="10.140625" bestFit="1" customWidth="1"/>
    <col min="15874" max="15874" width="12.7109375" bestFit="1" customWidth="1"/>
    <col min="15875" max="15875" width="12.140625" bestFit="1" customWidth="1"/>
    <col min="15876" max="15876" width="24.42578125" bestFit="1" customWidth="1"/>
    <col min="16121" max="16121" width="30.42578125" bestFit="1" customWidth="1"/>
    <col min="16122" max="16122" width="12.140625" customWidth="1"/>
    <col min="16123" max="16123" width="29.140625" bestFit="1" customWidth="1"/>
    <col min="16124" max="16124" width="12.5703125" customWidth="1"/>
    <col min="16126" max="16126" width="24" customWidth="1"/>
    <col min="16127" max="16127" width="22.28515625" customWidth="1"/>
    <col min="16129" max="16129" width="10.140625" bestFit="1" customWidth="1"/>
    <col min="16130" max="16130" width="12.7109375" bestFit="1" customWidth="1"/>
    <col min="16131" max="16131" width="12.140625" bestFit="1" customWidth="1"/>
    <col min="16132" max="16132" width="24.42578125" bestFit="1" customWidth="1"/>
  </cols>
  <sheetData>
    <row r="1" spans="1:26" ht="15.75" customHeight="1" thickBot="1" x14ac:dyDescent="0.3">
      <c r="B1" s="123">
        <v>42339</v>
      </c>
      <c r="C1" s="123"/>
      <c r="D1" s="7"/>
      <c r="E1" s="124" t="s">
        <v>8</v>
      </c>
      <c r="F1" s="125"/>
      <c r="G1" s="125"/>
      <c r="H1" s="126"/>
      <c r="I1" s="127"/>
      <c r="J1" s="3">
        <v>30</v>
      </c>
      <c r="K1" s="3">
        <v>30</v>
      </c>
      <c r="L1" s="3">
        <v>30</v>
      </c>
      <c r="M1" s="3">
        <v>35</v>
      </c>
      <c r="N1" s="3">
        <v>30</v>
      </c>
      <c r="O1" s="3">
        <v>25</v>
      </c>
      <c r="P1" s="3">
        <v>25</v>
      </c>
      <c r="Q1" s="3">
        <v>30</v>
      </c>
      <c r="R1" s="3">
        <v>35</v>
      </c>
      <c r="S1" s="3">
        <v>35</v>
      </c>
      <c r="T1" s="3">
        <v>30</v>
      </c>
      <c r="U1" s="3">
        <v>35</v>
      </c>
      <c r="V1" s="3">
        <v>35</v>
      </c>
      <c r="W1" s="3">
        <v>30</v>
      </c>
      <c r="X1" s="3">
        <v>30</v>
      </c>
      <c r="Y1" s="129" t="s">
        <v>25</v>
      </c>
      <c r="Z1" s="25">
        <f ca="1">TODAY()</f>
        <v>45273</v>
      </c>
    </row>
    <row r="2" spans="1:26" ht="30" customHeight="1" x14ac:dyDescent="0.25">
      <c r="B2" s="131" t="s">
        <v>1</v>
      </c>
      <c r="C2" s="132"/>
      <c r="E2" s="35" t="s">
        <v>12</v>
      </c>
      <c r="F2" s="36" t="s">
        <v>9</v>
      </c>
      <c r="G2" s="36" t="s">
        <v>10</v>
      </c>
      <c r="H2" s="4" t="s">
        <v>11</v>
      </c>
      <c r="I2" s="128"/>
      <c r="J2" s="23" t="s">
        <v>22</v>
      </c>
      <c r="K2" s="23" t="s">
        <v>5</v>
      </c>
      <c r="L2" s="23" t="s">
        <v>13</v>
      </c>
      <c r="M2" s="23" t="s">
        <v>14</v>
      </c>
      <c r="N2" s="23" t="s">
        <v>15</v>
      </c>
      <c r="O2" s="23" t="s">
        <v>56</v>
      </c>
      <c r="P2" s="23" t="s">
        <v>55</v>
      </c>
      <c r="Q2" s="23" t="s">
        <v>23</v>
      </c>
      <c r="R2" s="23" t="s">
        <v>57</v>
      </c>
      <c r="S2" s="23" t="s">
        <v>26</v>
      </c>
      <c r="T2" s="23" t="s">
        <v>19</v>
      </c>
      <c r="U2" s="23" t="s">
        <v>20</v>
      </c>
      <c r="V2" s="23" t="s">
        <v>21</v>
      </c>
      <c r="W2" s="23" t="s">
        <v>36</v>
      </c>
      <c r="X2" s="23" t="s">
        <v>41</v>
      </c>
      <c r="Y2" s="130"/>
    </row>
    <row r="3" spans="1:26" ht="15.75" thickBot="1" x14ac:dyDescent="0.3">
      <c r="B3" s="49" t="s">
        <v>0</v>
      </c>
      <c r="C3" s="50" t="s">
        <v>2</v>
      </c>
      <c r="E3" s="32">
        <f>B1</f>
        <v>42339</v>
      </c>
      <c r="F3" s="71"/>
      <c r="G3" s="71"/>
      <c r="H3" s="72"/>
      <c r="I3" s="31">
        <f>E3</f>
        <v>42339</v>
      </c>
      <c r="J3" s="37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9"/>
      <c r="Y3" s="61">
        <f>SUM(J3:X3)</f>
        <v>0</v>
      </c>
    </row>
    <row r="4" spans="1:26" ht="15.75" thickBot="1" x14ac:dyDescent="0.3">
      <c r="B4" s="14" t="s">
        <v>3</v>
      </c>
      <c r="C4" s="15">
        <f>F34</f>
        <v>52123</v>
      </c>
      <c r="E4" s="32">
        <f>E3+1</f>
        <v>42340</v>
      </c>
      <c r="F4" s="71"/>
      <c r="G4" s="71"/>
      <c r="H4" s="72"/>
      <c r="I4" s="31">
        <f t="shared" ref="I4:I33" si="0">E4</f>
        <v>42340</v>
      </c>
      <c r="J4" s="40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2"/>
      <c r="Y4" s="62">
        <f>SUM(J4:X4)</f>
        <v>0</v>
      </c>
    </row>
    <row r="5" spans="1:26" ht="15" customHeight="1" thickBot="1" x14ac:dyDescent="0.3">
      <c r="A5" s="51"/>
      <c r="E5" s="32">
        <f t="shared" ref="E5:E33" si="1">E4+1</f>
        <v>42341</v>
      </c>
      <c r="F5" s="71"/>
      <c r="G5" s="71"/>
      <c r="H5" s="72"/>
      <c r="I5" s="31">
        <f t="shared" si="0"/>
        <v>42341</v>
      </c>
      <c r="J5" s="40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2"/>
      <c r="Y5" s="62">
        <f t="shared" ref="Y5:Y33" si="2">SUM(J5:X5)</f>
        <v>0</v>
      </c>
    </row>
    <row r="6" spans="1:26" ht="15" customHeight="1" x14ac:dyDescent="0.25">
      <c r="A6" s="139" t="s">
        <v>42</v>
      </c>
      <c r="B6" s="76" t="s">
        <v>7</v>
      </c>
      <c r="C6" s="11">
        <v>4000</v>
      </c>
      <c r="E6" s="32">
        <f t="shared" si="1"/>
        <v>42342</v>
      </c>
      <c r="F6" s="71">
        <v>6790</v>
      </c>
      <c r="G6" s="71"/>
      <c r="H6" s="72" t="s">
        <v>3</v>
      </c>
      <c r="I6" s="31">
        <f t="shared" si="0"/>
        <v>42342</v>
      </c>
      <c r="J6" s="40">
        <v>13</v>
      </c>
      <c r="K6" s="41">
        <v>17</v>
      </c>
      <c r="L6" s="41">
        <v>7</v>
      </c>
      <c r="M6" s="41">
        <v>44</v>
      </c>
      <c r="N6" s="41">
        <v>21</v>
      </c>
      <c r="O6" s="41">
        <v>10</v>
      </c>
      <c r="P6" s="41">
        <v>11</v>
      </c>
      <c r="Q6" s="41">
        <v>33</v>
      </c>
      <c r="R6" s="41">
        <v>6</v>
      </c>
      <c r="S6" s="41">
        <v>3</v>
      </c>
      <c r="T6" s="41">
        <v>17</v>
      </c>
      <c r="U6" s="41">
        <v>4</v>
      </c>
      <c r="V6" s="41">
        <v>21</v>
      </c>
      <c r="W6" s="41">
        <v>39</v>
      </c>
      <c r="X6" s="42">
        <v>11</v>
      </c>
      <c r="Y6" s="62">
        <f t="shared" si="2"/>
        <v>257</v>
      </c>
    </row>
    <row r="7" spans="1:26" x14ac:dyDescent="0.25">
      <c r="A7" s="140"/>
      <c r="B7" s="77" t="s">
        <v>43</v>
      </c>
      <c r="C7" s="12">
        <v>40</v>
      </c>
      <c r="E7" s="32">
        <f t="shared" si="1"/>
        <v>42343</v>
      </c>
      <c r="F7" s="71"/>
      <c r="G7" s="71"/>
      <c r="H7" s="120"/>
      <c r="I7" s="31">
        <f t="shared" si="0"/>
        <v>42343</v>
      </c>
      <c r="J7" s="40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2"/>
      <c r="Y7" s="62">
        <f t="shared" si="2"/>
        <v>0</v>
      </c>
    </row>
    <row r="8" spans="1:26" x14ac:dyDescent="0.25">
      <c r="A8" s="140"/>
      <c r="B8" s="77" t="s">
        <v>4</v>
      </c>
      <c r="C8" s="13">
        <v>0</v>
      </c>
      <c r="E8" s="32">
        <f t="shared" si="1"/>
        <v>42344</v>
      </c>
      <c r="F8" s="71"/>
      <c r="G8" s="71"/>
      <c r="H8" s="119"/>
      <c r="I8" s="31">
        <f t="shared" si="0"/>
        <v>42344</v>
      </c>
      <c r="J8" s="40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2"/>
      <c r="Y8" s="62">
        <f t="shared" si="2"/>
        <v>0</v>
      </c>
    </row>
    <row r="9" spans="1:26" x14ac:dyDescent="0.25">
      <c r="A9" s="140"/>
      <c r="B9" s="77" t="s">
        <v>27</v>
      </c>
      <c r="C9" s="12">
        <f>'[2]Расход ингредиентов'!$D$272</f>
        <v>10900</v>
      </c>
      <c r="E9" s="32">
        <f t="shared" si="1"/>
        <v>42345</v>
      </c>
      <c r="F9" s="71"/>
      <c r="G9" s="71"/>
      <c r="H9" s="72"/>
      <c r="I9" s="31">
        <f t="shared" si="0"/>
        <v>42345</v>
      </c>
      <c r="J9" s="40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2"/>
      <c r="Y9" s="62">
        <f t="shared" si="2"/>
        <v>0</v>
      </c>
    </row>
    <row r="10" spans="1:26" x14ac:dyDescent="0.25">
      <c r="A10" s="140"/>
      <c r="B10" s="77" t="s">
        <v>44</v>
      </c>
      <c r="C10" s="12">
        <f>'[2]Расход ингредиентов'!$D$269</f>
        <v>437.95918367346934</v>
      </c>
      <c r="E10" s="32">
        <f t="shared" si="1"/>
        <v>42346</v>
      </c>
      <c r="F10" s="71"/>
      <c r="G10" s="71"/>
      <c r="H10" s="72"/>
      <c r="I10" s="31">
        <f t="shared" si="0"/>
        <v>42346</v>
      </c>
      <c r="J10" s="40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2"/>
      <c r="Y10" s="62">
        <f t="shared" si="2"/>
        <v>0</v>
      </c>
    </row>
    <row r="11" spans="1:26" x14ac:dyDescent="0.25">
      <c r="A11" s="140"/>
      <c r="B11" s="77" t="s">
        <v>38</v>
      </c>
      <c r="C11" s="12">
        <f>'[2]Расход ингредиентов'!$D$268</f>
        <v>1500</v>
      </c>
      <c r="E11" s="32">
        <f t="shared" si="1"/>
        <v>42347</v>
      </c>
      <c r="F11" s="71"/>
      <c r="G11" s="71"/>
      <c r="H11" s="72"/>
      <c r="I11" s="31">
        <f t="shared" si="0"/>
        <v>42347</v>
      </c>
      <c r="J11" s="40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2"/>
      <c r="Y11" s="62">
        <f t="shared" si="2"/>
        <v>0</v>
      </c>
    </row>
    <row r="12" spans="1:26" x14ac:dyDescent="0.25">
      <c r="A12" s="140"/>
      <c r="B12" s="77" t="s">
        <v>39</v>
      </c>
      <c r="C12" s="12">
        <v>0</v>
      </c>
      <c r="E12" s="32">
        <f t="shared" si="1"/>
        <v>42348</v>
      </c>
      <c r="F12" s="71"/>
      <c r="G12" s="71">
        <f>550/5</f>
        <v>110</v>
      </c>
      <c r="H12" s="72" t="s">
        <v>78</v>
      </c>
      <c r="I12" s="31">
        <f t="shared" si="0"/>
        <v>42348</v>
      </c>
      <c r="J12" s="40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2"/>
      <c r="Y12" s="62">
        <f t="shared" si="2"/>
        <v>0</v>
      </c>
    </row>
    <row r="13" spans="1:26" x14ac:dyDescent="0.25">
      <c r="A13" s="140"/>
      <c r="B13" s="77" t="s">
        <v>31</v>
      </c>
      <c r="C13" s="18">
        <v>3300</v>
      </c>
      <c r="E13" s="32">
        <f t="shared" si="1"/>
        <v>42349</v>
      </c>
      <c r="F13" s="71">
        <f>8410-40</f>
        <v>8370</v>
      </c>
      <c r="G13" s="71"/>
      <c r="H13" s="72" t="s">
        <v>3</v>
      </c>
      <c r="I13" s="31">
        <f t="shared" si="0"/>
        <v>42349</v>
      </c>
      <c r="J13" s="40">
        <v>15</v>
      </c>
      <c r="K13" s="41">
        <v>17</v>
      </c>
      <c r="L13" s="41">
        <v>6</v>
      </c>
      <c r="M13" s="41">
        <v>60</v>
      </c>
      <c r="N13" s="41">
        <v>42</v>
      </c>
      <c r="O13" s="41">
        <v>11</v>
      </c>
      <c r="P13" s="41">
        <v>10</v>
      </c>
      <c r="Q13" s="41">
        <v>60</v>
      </c>
      <c r="R13" s="41">
        <v>3</v>
      </c>
      <c r="S13" s="41">
        <v>4</v>
      </c>
      <c r="T13" s="41">
        <v>17</v>
      </c>
      <c r="U13" s="41">
        <v>11</v>
      </c>
      <c r="V13" s="41">
        <v>16</v>
      </c>
      <c r="W13" s="41">
        <v>11</v>
      </c>
      <c r="X13" s="42">
        <v>11</v>
      </c>
      <c r="Y13" s="62">
        <f t="shared" si="2"/>
        <v>294</v>
      </c>
    </row>
    <row r="14" spans="1:26" x14ac:dyDescent="0.25">
      <c r="A14" s="140"/>
      <c r="B14" s="77" t="s">
        <v>46</v>
      </c>
      <c r="C14" s="18">
        <v>1430</v>
      </c>
      <c r="E14" s="32">
        <f t="shared" si="1"/>
        <v>42350</v>
      </c>
      <c r="F14" s="71"/>
      <c r="G14" s="71">
        <v>100</v>
      </c>
      <c r="H14" s="120" t="s">
        <v>122</v>
      </c>
      <c r="I14" s="31">
        <f t="shared" si="0"/>
        <v>42350</v>
      </c>
      <c r="J14" s="40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2"/>
      <c r="Y14" s="62">
        <f t="shared" si="2"/>
        <v>0</v>
      </c>
    </row>
    <row r="15" spans="1:26" x14ac:dyDescent="0.25">
      <c r="A15" s="140"/>
      <c r="B15" s="77" t="s">
        <v>45</v>
      </c>
      <c r="C15" s="12">
        <f>G12+G14+G17+G20+G26+G29+G28+G30</f>
        <v>2410</v>
      </c>
      <c r="E15" s="32">
        <f t="shared" si="1"/>
        <v>42351</v>
      </c>
      <c r="F15" s="71"/>
      <c r="G15" s="71"/>
      <c r="H15" s="72"/>
      <c r="I15" s="31">
        <f t="shared" si="0"/>
        <v>42351</v>
      </c>
      <c r="J15" s="40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62">
        <f t="shared" si="2"/>
        <v>0</v>
      </c>
    </row>
    <row r="16" spans="1:26" ht="15.75" thickBot="1" x14ac:dyDescent="0.3">
      <c r="A16" s="141"/>
      <c r="B16" s="78" t="s">
        <v>47</v>
      </c>
      <c r="C16" s="53">
        <f>SUM(C6:C15)</f>
        <v>24017.959183673469</v>
      </c>
      <c r="E16" s="32">
        <f t="shared" si="1"/>
        <v>42352</v>
      </c>
      <c r="F16" s="71"/>
      <c r="G16" s="71"/>
      <c r="H16" s="72"/>
      <c r="I16" s="31">
        <f t="shared" si="0"/>
        <v>42352</v>
      </c>
      <c r="J16" s="40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2"/>
      <c r="Y16" s="62">
        <f t="shared" si="2"/>
        <v>0</v>
      </c>
    </row>
    <row r="17" spans="1:25" ht="15.75" thickBot="1" x14ac:dyDescent="0.3">
      <c r="E17" s="32">
        <f t="shared" si="1"/>
        <v>42353</v>
      </c>
      <c r="F17" s="71"/>
      <c r="G17" s="71">
        <v>200</v>
      </c>
      <c r="H17" s="72" t="s">
        <v>123</v>
      </c>
      <c r="I17" s="31">
        <f t="shared" si="0"/>
        <v>42353</v>
      </c>
      <c r="J17" s="40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2"/>
      <c r="Y17" s="62">
        <f t="shared" si="2"/>
        <v>0</v>
      </c>
    </row>
    <row r="18" spans="1:25" ht="15.75" thickBot="1" x14ac:dyDescent="0.3">
      <c r="B18" s="16" t="s">
        <v>32</v>
      </c>
      <c r="C18" s="17">
        <f>C4-C16</f>
        <v>28105.040816326531</v>
      </c>
      <c r="E18" s="32">
        <f t="shared" si="1"/>
        <v>42354</v>
      </c>
      <c r="F18" s="71"/>
      <c r="G18" s="71"/>
      <c r="H18" s="72"/>
      <c r="I18" s="31">
        <f t="shared" si="0"/>
        <v>42354</v>
      </c>
      <c r="J18" s="40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2"/>
      <c r="Y18" s="62">
        <f t="shared" si="2"/>
        <v>0</v>
      </c>
    </row>
    <row r="19" spans="1:25" ht="15.75" thickBot="1" x14ac:dyDescent="0.3">
      <c r="E19" s="32">
        <f t="shared" si="1"/>
        <v>42355</v>
      </c>
      <c r="F19" s="71"/>
      <c r="G19" s="71"/>
      <c r="H19" s="72"/>
      <c r="I19" s="31">
        <f t="shared" si="0"/>
        <v>42355</v>
      </c>
      <c r="J19" s="40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2"/>
      <c r="Y19" s="62">
        <f t="shared" si="2"/>
        <v>0</v>
      </c>
    </row>
    <row r="20" spans="1:25" ht="15.75" thickBot="1" x14ac:dyDescent="0.3">
      <c r="B20" s="16" t="s">
        <v>48</v>
      </c>
      <c r="C20" s="17">
        <f>CEILING(C6+C8,100)</f>
        <v>4000</v>
      </c>
      <c r="E20" s="32">
        <f t="shared" si="1"/>
        <v>42356</v>
      </c>
      <c r="F20" s="71"/>
      <c r="G20" s="71">
        <v>130</v>
      </c>
      <c r="H20" s="72" t="s">
        <v>103</v>
      </c>
      <c r="I20" s="31">
        <f t="shared" si="0"/>
        <v>42356</v>
      </c>
      <c r="J20" s="40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2"/>
      <c r="Y20" s="62">
        <f t="shared" si="2"/>
        <v>0</v>
      </c>
    </row>
    <row r="21" spans="1:25" ht="15.75" thickBot="1" x14ac:dyDescent="0.3">
      <c r="E21" s="32">
        <f>E20+1</f>
        <v>42357</v>
      </c>
      <c r="F21" s="71">
        <v>9150</v>
      </c>
      <c r="G21" s="71"/>
      <c r="H21" s="72" t="s">
        <v>3</v>
      </c>
      <c r="I21" s="31">
        <f t="shared" si="0"/>
        <v>42357</v>
      </c>
      <c r="J21" s="40">
        <v>14</v>
      </c>
      <c r="K21" s="41">
        <v>9</v>
      </c>
      <c r="L21" s="41">
        <v>0</v>
      </c>
      <c r="M21" s="41">
        <v>75</v>
      </c>
      <c r="N21" s="41">
        <v>35</v>
      </c>
      <c r="O21" s="41">
        <v>16</v>
      </c>
      <c r="P21" s="41">
        <v>16</v>
      </c>
      <c r="Q21" s="41">
        <v>27</v>
      </c>
      <c r="R21" s="41">
        <v>13</v>
      </c>
      <c r="S21" s="41">
        <v>12</v>
      </c>
      <c r="T21" s="41">
        <v>27</v>
      </c>
      <c r="U21" s="41">
        <v>18</v>
      </c>
      <c r="V21" s="41">
        <v>18</v>
      </c>
      <c r="W21" s="41">
        <v>7</v>
      </c>
      <c r="X21" s="42">
        <v>57</v>
      </c>
      <c r="Y21" s="62">
        <f t="shared" si="2"/>
        <v>344</v>
      </c>
    </row>
    <row r="22" spans="1:25" ht="15.75" thickBot="1" x14ac:dyDescent="0.3">
      <c r="B22" s="52" t="s">
        <v>53</v>
      </c>
      <c r="C22" s="63">
        <f>C18</f>
        <v>28105.040816326531</v>
      </c>
      <c r="E22" s="32">
        <f t="shared" si="1"/>
        <v>42358</v>
      </c>
      <c r="F22" s="71"/>
      <c r="G22" s="71"/>
      <c r="H22" s="72"/>
      <c r="I22" s="31">
        <f t="shared" si="0"/>
        <v>42358</v>
      </c>
      <c r="J22" s="40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2"/>
      <c r="Y22" s="62">
        <f t="shared" si="2"/>
        <v>0</v>
      </c>
    </row>
    <row r="23" spans="1:25" ht="15" customHeight="1" x14ac:dyDescent="0.25">
      <c r="A23" s="133" t="s">
        <v>49</v>
      </c>
      <c r="B23" s="58" t="s">
        <v>50</v>
      </c>
      <c r="C23" s="59">
        <v>0</v>
      </c>
      <c r="E23" s="32">
        <f t="shared" si="1"/>
        <v>42359</v>
      </c>
      <c r="F23" s="71"/>
      <c r="G23" s="71"/>
      <c r="H23" s="72"/>
      <c r="I23" s="31">
        <f t="shared" si="0"/>
        <v>42359</v>
      </c>
      <c r="J23" s="40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2"/>
      <c r="Y23" s="62">
        <f t="shared" si="2"/>
        <v>0</v>
      </c>
    </row>
    <row r="24" spans="1:25" x14ac:dyDescent="0.25">
      <c r="A24" s="134"/>
      <c r="B24" s="54" t="s">
        <v>40</v>
      </c>
      <c r="C24" s="55">
        <v>0</v>
      </c>
      <c r="E24" s="32">
        <f t="shared" si="1"/>
        <v>42360</v>
      </c>
      <c r="F24" s="71"/>
      <c r="G24" s="71"/>
      <c r="H24" s="72"/>
      <c r="I24" s="31">
        <f t="shared" si="0"/>
        <v>42360</v>
      </c>
      <c r="J24" s="40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2"/>
      <c r="Y24" s="62">
        <f t="shared" si="2"/>
        <v>0</v>
      </c>
    </row>
    <row r="25" spans="1:25" x14ac:dyDescent="0.25">
      <c r="A25" s="134"/>
      <c r="B25" s="54" t="s">
        <v>51</v>
      </c>
      <c r="C25" s="55">
        <v>0</v>
      </c>
      <c r="E25" s="32">
        <f t="shared" si="1"/>
        <v>42361</v>
      </c>
      <c r="F25" s="71"/>
      <c r="G25" s="71"/>
      <c r="H25" s="72"/>
      <c r="I25" s="31">
        <f t="shared" si="0"/>
        <v>42361</v>
      </c>
      <c r="J25" s="40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2"/>
      <c r="Y25" s="62">
        <f t="shared" si="2"/>
        <v>0</v>
      </c>
    </row>
    <row r="26" spans="1:25" ht="15.75" thickBot="1" x14ac:dyDescent="0.3">
      <c r="A26" s="134"/>
      <c r="B26" s="57" t="s">
        <v>52</v>
      </c>
      <c r="C26" s="56">
        <v>0</v>
      </c>
      <c r="E26" s="32">
        <f t="shared" si="1"/>
        <v>42362</v>
      </c>
      <c r="F26" s="71"/>
      <c r="G26" s="71">
        <v>250</v>
      </c>
      <c r="H26" s="72" t="s">
        <v>78</v>
      </c>
      <c r="I26" s="31">
        <f t="shared" si="0"/>
        <v>42362</v>
      </c>
      <c r="J26" s="40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2"/>
      <c r="Y26" s="62">
        <f t="shared" si="2"/>
        <v>0</v>
      </c>
    </row>
    <row r="27" spans="1:25" ht="15.75" thickBot="1" x14ac:dyDescent="0.3">
      <c r="A27" s="134"/>
      <c r="B27" s="52" t="s">
        <v>54</v>
      </c>
      <c r="C27" s="60">
        <f>C22-SUM(C23:C26)</f>
        <v>28105.040816326531</v>
      </c>
      <c r="E27" s="32">
        <f t="shared" si="1"/>
        <v>42363</v>
      </c>
      <c r="F27" s="71">
        <v>8320</v>
      </c>
      <c r="G27" s="71"/>
      <c r="H27" s="72" t="s">
        <v>3</v>
      </c>
      <c r="I27" s="31">
        <f t="shared" si="0"/>
        <v>42363</v>
      </c>
      <c r="J27" s="40">
        <v>10</v>
      </c>
      <c r="K27" s="41">
        <v>12</v>
      </c>
      <c r="L27" s="41">
        <v>6</v>
      </c>
      <c r="M27" s="41">
        <v>47</v>
      </c>
      <c r="N27" s="41">
        <v>43</v>
      </c>
      <c r="O27" s="41">
        <v>11</v>
      </c>
      <c r="P27" s="41">
        <v>11</v>
      </c>
      <c r="Q27" s="41">
        <v>33</v>
      </c>
      <c r="R27" s="41">
        <v>10</v>
      </c>
      <c r="S27" s="41">
        <v>8</v>
      </c>
      <c r="T27" s="41">
        <v>22</v>
      </c>
      <c r="U27" s="41">
        <v>39</v>
      </c>
      <c r="V27" s="41">
        <v>16</v>
      </c>
      <c r="W27" s="41">
        <v>9</v>
      </c>
      <c r="X27" s="42">
        <v>10</v>
      </c>
      <c r="Y27" s="62">
        <f t="shared" si="2"/>
        <v>287</v>
      </c>
    </row>
    <row r="28" spans="1:25" ht="15.75" thickBot="1" x14ac:dyDescent="0.3">
      <c r="A28" s="135"/>
      <c r="B28" s="33"/>
      <c r="C28" s="34"/>
      <c r="E28" s="32">
        <f t="shared" si="1"/>
        <v>42364</v>
      </c>
      <c r="F28" s="71"/>
      <c r="G28" s="29">
        <v>100</v>
      </c>
      <c r="H28" s="120" t="s">
        <v>125</v>
      </c>
      <c r="I28" s="31">
        <f t="shared" si="0"/>
        <v>42364</v>
      </c>
      <c r="J28" s="40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2"/>
      <c r="Y28" s="62">
        <f t="shared" si="2"/>
        <v>0</v>
      </c>
    </row>
    <row r="29" spans="1:25" ht="15.75" thickBot="1" x14ac:dyDescent="0.3">
      <c r="B29" s="16" t="s">
        <v>28</v>
      </c>
      <c r="C29" s="17">
        <f>'12'!G35+'11'!C29</f>
        <v>416064</v>
      </c>
      <c r="E29" s="32">
        <f t="shared" si="1"/>
        <v>42365</v>
      </c>
      <c r="F29" s="71"/>
      <c r="G29" s="71">
        <v>1000</v>
      </c>
      <c r="H29" s="72" t="s">
        <v>124</v>
      </c>
      <c r="I29" s="31">
        <f t="shared" si="0"/>
        <v>42365</v>
      </c>
      <c r="J29" s="40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2"/>
      <c r="Y29" s="62">
        <f t="shared" si="2"/>
        <v>0</v>
      </c>
    </row>
    <row r="30" spans="1:25" x14ac:dyDescent="0.25">
      <c r="B30" s="46"/>
      <c r="C30" s="47"/>
      <c r="E30" s="32">
        <f t="shared" si="1"/>
        <v>42366</v>
      </c>
      <c r="F30" s="29"/>
      <c r="G30" s="29">
        <f>770-250</f>
        <v>520</v>
      </c>
      <c r="H30" s="119" t="s">
        <v>126</v>
      </c>
      <c r="I30" s="31">
        <f t="shared" si="0"/>
        <v>42366</v>
      </c>
      <c r="J30" s="40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2"/>
      <c r="Y30" s="62">
        <f t="shared" si="2"/>
        <v>0</v>
      </c>
    </row>
    <row r="31" spans="1:25" x14ac:dyDescent="0.25">
      <c r="B31" s="43"/>
      <c r="C31" s="48"/>
      <c r="E31" s="32">
        <f t="shared" si="1"/>
        <v>42367</v>
      </c>
      <c r="F31" s="29">
        <v>9850</v>
      </c>
      <c r="G31" s="29"/>
      <c r="H31" s="72" t="s">
        <v>3</v>
      </c>
      <c r="I31" s="31">
        <f t="shared" si="0"/>
        <v>42367</v>
      </c>
      <c r="J31" s="40">
        <v>9</v>
      </c>
      <c r="K31" s="41">
        <v>16</v>
      </c>
      <c r="L31" s="41">
        <v>3</v>
      </c>
      <c r="M31" s="41">
        <v>37</v>
      </c>
      <c r="N31" s="41">
        <v>52</v>
      </c>
      <c r="O31" s="41">
        <v>11</v>
      </c>
      <c r="P31" s="41">
        <v>10</v>
      </c>
      <c r="Q31" s="41">
        <v>37</v>
      </c>
      <c r="R31" s="41">
        <v>11</v>
      </c>
      <c r="S31" s="41">
        <v>8</v>
      </c>
      <c r="T31" s="41">
        <v>23</v>
      </c>
      <c r="U31" s="41">
        <v>17</v>
      </c>
      <c r="V31" s="41">
        <v>17</v>
      </c>
      <c r="W31" s="41">
        <v>52</v>
      </c>
      <c r="X31" s="42">
        <v>12</v>
      </c>
      <c r="Y31" s="62">
        <f t="shared" si="2"/>
        <v>315</v>
      </c>
    </row>
    <row r="32" spans="1:25" x14ac:dyDescent="0.25">
      <c r="B32" s="43"/>
      <c r="C32" s="48"/>
      <c r="E32" s="32">
        <f t="shared" si="1"/>
        <v>42368</v>
      </c>
      <c r="F32" s="29">
        <v>6333</v>
      </c>
      <c r="G32" s="29"/>
      <c r="H32" s="120" t="s">
        <v>117</v>
      </c>
      <c r="I32" s="31">
        <f t="shared" si="0"/>
        <v>42368</v>
      </c>
      <c r="J32" s="40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2"/>
      <c r="Y32" s="62">
        <f t="shared" si="2"/>
        <v>0</v>
      </c>
    </row>
    <row r="33" spans="2:25" ht="15.75" thickBot="1" x14ac:dyDescent="0.3">
      <c r="B33" s="33"/>
      <c r="C33" s="34"/>
      <c r="E33" s="32">
        <f t="shared" si="1"/>
        <v>42369</v>
      </c>
      <c r="F33" s="29">
        <v>3310</v>
      </c>
      <c r="G33" s="29"/>
      <c r="H33" s="72" t="s">
        <v>3</v>
      </c>
      <c r="I33" s="31">
        <f t="shared" si="0"/>
        <v>42369</v>
      </c>
      <c r="J33" s="40">
        <v>6</v>
      </c>
      <c r="K33" s="41">
        <v>16</v>
      </c>
      <c r="L33" s="41">
        <v>4</v>
      </c>
      <c r="M33" s="41">
        <v>17</v>
      </c>
      <c r="N33" s="41">
        <v>8</v>
      </c>
      <c r="O33" s="41">
        <v>4</v>
      </c>
      <c r="P33" s="41">
        <v>5</v>
      </c>
      <c r="Q33" s="41">
        <v>11</v>
      </c>
      <c r="R33" s="41">
        <v>6</v>
      </c>
      <c r="S33" s="41">
        <v>5</v>
      </c>
      <c r="T33" s="41">
        <v>9</v>
      </c>
      <c r="U33" s="41">
        <v>2</v>
      </c>
      <c r="V33" s="41">
        <v>5</v>
      </c>
      <c r="W33" s="41">
        <v>26</v>
      </c>
      <c r="X33" s="42">
        <v>7</v>
      </c>
      <c r="Y33" s="62">
        <f t="shared" si="2"/>
        <v>131</v>
      </c>
    </row>
    <row r="34" spans="2:25" ht="15.75" thickBot="1" x14ac:dyDescent="0.3">
      <c r="B34" s="43"/>
      <c r="C34" s="48"/>
      <c r="E34" s="19" t="s">
        <v>6</v>
      </c>
      <c r="F34" s="6">
        <f>SUM(F3:F33)</f>
        <v>52123</v>
      </c>
      <c r="G34" s="6">
        <f>SUM(G3:G33)</f>
        <v>2410</v>
      </c>
      <c r="H34" s="2"/>
      <c r="I34" s="22" t="s">
        <v>33</v>
      </c>
      <c r="J34" s="24">
        <f t="shared" ref="J34:Y34" si="3">SUM(J3:J33)</f>
        <v>67</v>
      </c>
      <c r="K34" s="24">
        <f t="shared" si="3"/>
        <v>87</v>
      </c>
      <c r="L34" s="24">
        <f t="shared" si="3"/>
        <v>26</v>
      </c>
      <c r="M34" s="24">
        <f t="shared" si="3"/>
        <v>280</v>
      </c>
      <c r="N34" s="24">
        <f t="shared" si="3"/>
        <v>201</v>
      </c>
      <c r="O34" s="24">
        <f t="shared" si="3"/>
        <v>63</v>
      </c>
      <c r="P34" s="24">
        <f t="shared" si="3"/>
        <v>63</v>
      </c>
      <c r="Q34" s="24">
        <f t="shared" si="3"/>
        <v>201</v>
      </c>
      <c r="R34" s="24">
        <f t="shared" si="3"/>
        <v>49</v>
      </c>
      <c r="S34" s="24">
        <f t="shared" si="3"/>
        <v>40</v>
      </c>
      <c r="T34" s="24">
        <f t="shared" si="3"/>
        <v>115</v>
      </c>
      <c r="U34" s="24">
        <f t="shared" si="3"/>
        <v>91</v>
      </c>
      <c r="V34" s="24">
        <f t="shared" si="3"/>
        <v>93</v>
      </c>
      <c r="W34" s="24">
        <f t="shared" si="3"/>
        <v>144</v>
      </c>
      <c r="X34" s="24">
        <f t="shared" si="3"/>
        <v>108</v>
      </c>
      <c r="Y34" s="24">
        <f t="shared" si="3"/>
        <v>1628</v>
      </c>
    </row>
    <row r="35" spans="2:25" ht="15.75" thickBot="1" x14ac:dyDescent="0.3">
      <c r="B35" s="43"/>
      <c r="C35" s="48"/>
      <c r="E35" s="136" t="s">
        <v>37</v>
      </c>
      <c r="F35" s="137"/>
      <c r="G35" s="1">
        <f>F34-G34</f>
        <v>49713</v>
      </c>
      <c r="I35"/>
    </row>
    <row r="36" spans="2:25" ht="24" x14ac:dyDescent="0.25">
      <c r="B36" s="43"/>
      <c r="C36" s="48"/>
      <c r="J36" s="8" t="s">
        <v>22</v>
      </c>
      <c r="K36" s="8" t="s">
        <v>5</v>
      </c>
      <c r="L36" s="8" t="s">
        <v>13</v>
      </c>
      <c r="M36" s="8" t="s">
        <v>14</v>
      </c>
      <c r="N36" s="8" t="s">
        <v>15</v>
      </c>
      <c r="O36" s="8" t="s">
        <v>16</v>
      </c>
      <c r="P36" s="8" t="s">
        <v>17</v>
      </c>
      <c r="Q36" s="8" t="s">
        <v>23</v>
      </c>
      <c r="R36" s="8" t="s">
        <v>24</v>
      </c>
      <c r="S36" s="8" t="s">
        <v>26</v>
      </c>
      <c r="T36" s="8" t="s">
        <v>19</v>
      </c>
      <c r="U36" s="8" t="s">
        <v>20</v>
      </c>
      <c r="V36" s="8" t="s">
        <v>21</v>
      </c>
      <c r="W36" s="8" t="s">
        <v>36</v>
      </c>
      <c r="X36" s="8" t="s">
        <v>18</v>
      </c>
    </row>
    <row r="37" spans="2:25" ht="15.75" thickBot="1" x14ac:dyDescent="0.3">
      <c r="B37" s="43"/>
      <c r="C37" s="48"/>
      <c r="J37" s="9">
        <f>J34</f>
        <v>67</v>
      </c>
      <c r="K37" s="9">
        <f t="shared" ref="K37:X37" si="4">K34</f>
        <v>87</v>
      </c>
      <c r="L37" s="9">
        <f t="shared" si="4"/>
        <v>26</v>
      </c>
      <c r="M37" s="9">
        <f t="shared" si="4"/>
        <v>280</v>
      </c>
      <c r="N37" s="9">
        <f t="shared" si="4"/>
        <v>201</v>
      </c>
      <c r="O37" s="9">
        <f t="shared" si="4"/>
        <v>63</v>
      </c>
      <c r="P37" s="9">
        <f t="shared" si="4"/>
        <v>63</v>
      </c>
      <c r="Q37" s="9">
        <f t="shared" si="4"/>
        <v>201</v>
      </c>
      <c r="R37" s="9">
        <f t="shared" si="4"/>
        <v>49</v>
      </c>
      <c r="S37" s="9">
        <f t="shared" si="4"/>
        <v>40</v>
      </c>
      <c r="T37" s="9">
        <f t="shared" si="4"/>
        <v>115</v>
      </c>
      <c r="U37" s="9">
        <f t="shared" si="4"/>
        <v>91</v>
      </c>
      <c r="V37" s="9">
        <f t="shared" si="4"/>
        <v>93</v>
      </c>
      <c r="W37" s="9">
        <f t="shared" si="4"/>
        <v>144</v>
      </c>
      <c r="X37" s="9">
        <f t="shared" si="4"/>
        <v>108</v>
      </c>
    </row>
    <row r="38" spans="2:25" x14ac:dyDescent="0.25">
      <c r="B38" s="45"/>
      <c r="C38" s="45"/>
      <c r="I38" s="21"/>
      <c r="J38" s="10">
        <f>J34*'[3]Себестоимость '!D17</f>
        <v>623.6583333333333</v>
      </c>
      <c r="K38" s="10">
        <f>K34*'[3]Себестоимость '!E17</f>
        <v>721.52</v>
      </c>
      <c r="L38" s="10">
        <f>L34*'[3]Себестоимость '!F17</f>
        <v>230.83666666666667</v>
      </c>
      <c r="M38" s="10">
        <f>M34*'[3]Себестоимость '!G17</f>
        <v>2688.9333333333329</v>
      </c>
      <c r="N38" s="10">
        <f>N34*'[3]Себестоимость '!H17</f>
        <v>1831.5789999999997</v>
      </c>
      <c r="O38" s="10">
        <f>O34*'[3]Себестоимость '!I17</f>
        <v>228.27</v>
      </c>
      <c r="P38" s="10" t="e">
        <f>P34*'[3]Себестоимость '!J17</f>
        <v>#REF!</v>
      </c>
      <c r="Q38" s="10">
        <f>Q34*'[3]Себестоимость '!K17</f>
        <v>647.21999999999991</v>
      </c>
      <c r="R38" s="10">
        <f>R34*'[3]Себестоимость '!L17</f>
        <v>221.97</v>
      </c>
      <c r="S38" s="10">
        <f>S34*'[3]Себестоимость '!M17</f>
        <v>137.08000000000001</v>
      </c>
      <c r="T38" s="10">
        <f>T34*'[3]Себестоимость '!N17</f>
        <v>426.07499999999999</v>
      </c>
      <c r="U38" s="10">
        <f>U34*'[3]Себестоимость '!O17</f>
        <v>465.46500000000003</v>
      </c>
      <c r="V38" s="10">
        <f>V34*'[3]Себестоимость '!P17</f>
        <v>411.98999999999995</v>
      </c>
      <c r="W38" s="10">
        <f>W34*'[3]Себестоимость '!Q17</f>
        <v>700.56</v>
      </c>
      <c r="X38" s="10">
        <f>X34*'[3]Себестоимость '!R17</f>
        <v>510.29999999999995</v>
      </c>
      <c r="Y38" s="73" t="s">
        <v>30</v>
      </c>
    </row>
    <row r="39" spans="2:25" ht="15.75" thickBot="1" x14ac:dyDescent="0.3">
      <c r="B39" s="138"/>
      <c r="C39" s="138"/>
      <c r="Y39" s="74" t="s">
        <v>29</v>
      </c>
    </row>
    <row r="40" spans="2:25" x14ac:dyDescent="0.25">
      <c r="B40" s="46"/>
      <c r="C40" s="47"/>
    </row>
    <row r="41" spans="2:25" x14ac:dyDescent="0.25">
      <c r="B41" s="43"/>
      <c r="C41" s="48"/>
    </row>
    <row r="42" spans="2:25" x14ac:dyDescent="0.25">
      <c r="B42" s="45"/>
      <c r="C42" s="45"/>
    </row>
    <row r="43" spans="2:25" x14ac:dyDescent="0.25">
      <c r="B43" s="138"/>
      <c r="C43" s="138"/>
    </row>
    <row r="44" spans="2:25" x14ac:dyDescent="0.25">
      <c r="B44" s="33"/>
      <c r="C44" s="34"/>
    </row>
    <row r="45" spans="2:25" x14ac:dyDescent="0.25">
      <c r="B45" s="43"/>
      <c r="C45" s="44"/>
    </row>
  </sheetData>
  <mergeCells count="10">
    <mergeCell ref="A23:A28"/>
    <mergeCell ref="E35:F35"/>
    <mergeCell ref="B39:C39"/>
    <mergeCell ref="B43:C43"/>
    <mergeCell ref="A6:A16"/>
    <mergeCell ref="B1:C1"/>
    <mergeCell ref="E1:H1"/>
    <mergeCell ref="I1:I2"/>
    <mergeCell ref="Y1:Y2"/>
    <mergeCell ref="B2:C2"/>
  </mergeCells>
  <conditionalFormatting sqref="Y3:Y33">
    <cfRule type="cellIs" dxfId="7" priority="6" operator="equal">
      <formula>0</formula>
    </cfRule>
  </conditionalFormatting>
  <conditionalFormatting sqref="E3:E33">
    <cfRule type="cellIs" dxfId="6" priority="5" operator="equal">
      <formula>$Z$1</formula>
    </cfRule>
  </conditionalFormatting>
  <conditionalFormatting sqref="I3:I33">
    <cfRule type="cellIs" dxfId="5" priority="4" operator="equal">
      <formula>$Z$1</formula>
    </cfRule>
  </conditionalFormatting>
  <conditionalFormatting sqref="I34">
    <cfRule type="expression" dxfId="4" priority="3">
      <formula>$E$3:$E$32=TODAY()</formula>
    </cfRule>
  </conditionalFormatting>
  <conditionalFormatting sqref="I34">
    <cfRule type="cellIs" dxfId="3" priority="2" operator="equal">
      <formula>$Z$1</formula>
    </cfRule>
  </conditionalFormatting>
  <conditionalFormatting sqref="E28:F28 I28:Y28 E3:Y27 E29:Y33">
    <cfRule type="expression" dxfId="2" priority="7">
      <formula>$E3=$Z$1</formula>
    </cfRule>
  </conditionalFormatting>
  <conditionalFormatting sqref="G28:H28">
    <cfRule type="expression" dxfId="1" priority="1">
      <formula>$E28=$Z$1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theme="3" tint="-0.249977111117893"/>
  </sheetPr>
  <dimension ref="A1:AE46"/>
  <sheetViews>
    <sheetView tabSelected="1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P5" sqref="P5"/>
    </sheetView>
  </sheetViews>
  <sheetFormatPr defaultRowHeight="15" x14ac:dyDescent="0.25"/>
  <cols>
    <col min="1" max="1" width="25.5703125" bestFit="1" customWidth="1"/>
    <col min="2" max="2" width="12.140625" bestFit="1" customWidth="1"/>
    <col min="3" max="4" width="13.28515625" bestFit="1" customWidth="1"/>
    <col min="5" max="10" width="12.140625" bestFit="1" customWidth="1"/>
    <col min="11" max="11" width="13.85546875" bestFit="1" customWidth="1"/>
    <col min="12" max="12" width="12.85546875" bestFit="1" customWidth="1"/>
    <col min="13" max="13" width="12.140625" bestFit="1" customWidth="1"/>
    <col min="14" max="14" width="13.140625" bestFit="1" customWidth="1"/>
    <col min="15" max="15" width="12.42578125" bestFit="1" customWidth="1"/>
    <col min="16" max="16" width="12" bestFit="1" customWidth="1"/>
    <col min="17" max="17" width="13" bestFit="1" customWidth="1"/>
    <col min="18" max="18" width="6" bestFit="1" customWidth="1"/>
    <col min="19" max="19" width="3" bestFit="1" customWidth="1"/>
    <col min="20" max="20" width="33.140625" bestFit="1" customWidth="1"/>
    <col min="21" max="21" width="12.140625" bestFit="1" customWidth="1"/>
    <col min="22" max="22" width="29.140625" bestFit="1" customWidth="1"/>
    <col min="23" max="23" width="12.140625" bestFit="1" customWidth="1"/>
    <col min="25" max="25" width="10.28515625" bestFit="1" customWidth="1"/>
    <col min="27" max="28" width="0" hidden="1" customWidth="1"/>
    <col min="29" max="29" width="41.7109375" bestFit="1" customWidth="1"/>
    <col min="30" max="30" width="12.140625" bestFit="1" customWidth="1"/>
    <col min="31" max="31" width="8.7109375" bestFit="1" customWidth="1"/>
    <col min="33" max="33" width="21.85546875" bestFit="1" customWidth="1"/>
    <col min="34" max="34" width="29.7109375" bestFit="1" customWidth="1"/>
  </cols>
  <sheetData>
    <row r="1" spans="1:17" ht="15.75" customHeight="1" x14ac:dyDescent="0.25">
      <c r="A1" s="147" t="s">
        <v>1</v>
      </c>
      <c r="B1" s="148"/>
      <c r="C1" s="148"/>
      <c r="D1" s="148"/>
      <c r="E1" s="148"/>
      <c r="F1" s="148"/>
      <c r="G1" s="148"/>
      <c r="H1" s="148"/>
      <c r="I1" s="148"/>
      <c r="J1" s="148"/>
      <c r="K1" s="148"/>
      <c r="L1" s="148"/>
      <c r="M1" s="149"/>
      <c r="N1" s="65"/>
      <c r="O1" s="30"/>
    </row>
    <row r="2" spans="1:17" ht="15" customHeight="1" thickBot="1" x14ac:dyDescent="0.3">
      <c r="A2" s="150"/>
      <c r="B2" s="151"/>
      <c r="C2" s="151"/>
      <c r="D2" s="151"/>
      <c r="E2" s="151"/>
      <c r="F2" s="151"/>
      <c r="G2" s="151"/>
      <c r="H2" s="151"/>
      <c r="I2" s="151"/>
      <c r="J2" s="151"/>
      <c r="K2" s="151"/>
      <c r="L2" s="151"/>
      <c r="M2" s="152"/>
      <c r="N2" s="65"/>
      <c r="O2" s="30"/>
    </row>
    <row r="3" spans="1:17" x14ac:dyDescent="0.25">
      <c r="A3" s="79"/>
      <c r="B3" s="80" t="s">
        <v>127</v>
      </c>
      <c r="C3" s="80" t="s">
        <v>128</v>
      </c>
      <c r="D3" s="80" t="s">
        <v>129</v>
      </c>
      <c r="E3" s="80" t="s">
        <v>130</v>
      </c>
      <c r="F3" s="80" t="s">
        <v>131</v>
      </c>
      <c r="G3" s="80" t="s">
        <v>132</v>
      </c>
      <c r="H3" s="80" t="s">
        <v>133</v>
      </c>
      <c r="I3" s="80" t="s">
        <v>134</v>
      </c>
      <c r="J3" s="80" t="s">
        <v>135</v>
      </c>
      <c r="K3" s="80" t="s">
        <v>136</v>
      </c>
      <c r="L3" s="80" t="s">
        <v>137</v>
      </c>
      <c r="M3" s="81" t="s">
        <v>138</v>
      </c>
      <c r="N3" s="65"/>
      <c r="O3" s="66"/>
      <c r="Q3" s="30"/>
    </row>
    <row r="4" spans="1:17" ht="15.75" thickBot="1" x14ac:dyDescent="0.3">
      <c r="A4" s="49"/>
      <c r="B4" s="97">
        <v>1</v>
      </c>
      <c r="C4" s="97">
        <v>2</v>
      </c>
      <c r="D4" s="97">
        <v>3</v>
      </c>
      <c r="E4" s="97">
        <v>4</v>
      </c>
      <c r="F4" s="97">
        <v>5</v>
      </c>
      <c r="G4" s="97">
        <v>6</v>
      </c>
      <c r="H4" s="97">
        <v>7</v>
      </c>
      <c r="I4" s="97">
        <v>8</v>
      </c>
      <c r="J4" s="97">
        <v>9</v>
      </c>
      <c r="K4" s="97">
        <v>10</v>
      </c>
      <c r="L4" s="97">
        <v>11</v>
      </c>
      <c r="M4" s="50">
        <v>12</v>
      </c>
      <c r="N4" s="64"/>
      <c r="O4" s="64"/>
      <c r="Q4" s="30"/>
    </row>
    <row r="5" spans="1:17" ht="15.75" thickBot="1" x14ac:dyDescent="0.3">
      <c r="A5" s="14" t="s">
        <v>3</v>
      </c>
      <c r="B5" s="100">
        <f t="shared" ref="B5:E5" ca="1" si="0">IFERROR(INDIRECT(B$4&amp;"!"&amp;"C"&amp;ROW()-1),"")</f>
        <v>34200</v>
      </c>
      <c r="C5" s="100">
        <f t="shared" ca="1" si="0"/>
        <v>29570</v>
      </c>
      <c r="D5" s="100">
        <f t="shared" ca="1" si="0"/>
        <v>38700</v>
      </c>
      <c r="E5" s="100">
        <f t="shared" ca="1" si="0"/>
        <v>36690</v>
      </c>
      <c r="F5" s="100">
        <f ca="1">IFERROR(INDIRECT(F$4&amp;"!"&amp;"C"&amp;ROW()-1),"")</f>
        <v>36840</v>
      </c>
      <c r="G5" s="100">
        <f t="shared" ref="G5:M5" ca="1" si="1">IFERROR(INDIRECT(G$4&amp;"!"&amp;"C"&amp;ROW()-1),"")</f>
        <v>29810</v>
      </c>
      <c r="H5" s="100">
        <f t="shared" ca="1" si="1"/>
        <v>31140</v>
      </c>
      <c r="I5" s="100">
        <f t="shared" ca="1" si="1"/>
        <v>35350</v>
      </c>
      <c r="J5" s="100">
        <f t="shared" ca="1" si="1"/>
        <v>54088</v>
      </c>
      <c r="K5" s="100">
        <f t="shared" ca="1" si="1"/>
        <v>37630</v>
      </c>
      <c r="L5" s="100">
        <f t="shared" ca="1" si="1"/>
        <v>41227</v>
      </c>
      <c r="M5" s="101">
        <f t="shared" ca="1" si="1"/>
        <v>52123</v>
      </c>
      <c r="N5" s="2"/>
      <c r="O5" s="2"/>
      <c r="Q5" s="30"/>
    </row>
    <row r="6" spans="1:17" ht="15.75" thickBot="1" x14ac:dyDescent="0.3">
      <c r="A6" s="98"/>
      <c r="B6" s="99"/>
      <c r="C6" s="99"/>
      <c r="D6" s="99"/>
      <c r="E6" s="99"/>
      <c r="F6" s="93"/>
      <c r="G6" s="93"/>
      <c r="H6" s="93"/>
      <c r="I6" s="93"/>
      <c r="J6" s="93"/>
      <c r="K6" s="93"/>
      <c r="L6" s="93"/>
      <c r="M6" s="94"/>
      <c r="N6" s="65"/>
      <c r="O6" s="65"/>
      <c r="Q6" s="30"/>
    </row>
    <row r="7" spans="1:17" x14ac:dyDescent="0.25">
      <c r="A7" s="86" t="s">
        <v>7</v>
      </c>
      <c r="B7" s="87">
        <f t="shared" ref="B7:E17" ca="1" si="2">IFERROR(INDIRECT(B$4&amp;"!"&amp;"C"&amp;ROW()-1),"")</f>
        <v>4000</v>
      </c>
      <c r="C7" s="87">
        <f t="shared" ca="1" si="2"/>
        <v>4000</v>
      </c>
      <c r="D7" s="87">
        <f t="shared" ca="1" si="2"/>
        <v>4000</v>
      </c>
      <c r="E7" s="87">
        <f t="shared" ca="1" si="2"/>
        <v>4000</v>
      </c>
      <c r="F7" s="87">
        <f t="shared" ref="F7:M30" ca="1" si="3">IFERROR(INDIRECT(F$4&amp;"!"&amp;"C"&amp;ROW()-1),"")</f>
        <v>4000</v>
      </c>
      <c r="G7" s="87">
        <f t="shared" ca="1" si="3"/>
        <v>4000</v>
      </c>
      <c r="H7" s="87">
        <f t="shared" ca="1" si="3"/>
        <v>4000</v>
      </c>
      <c r="I7" s="87">
        <f t="shared" ca="1" si="3"/>
        <v>4000</v>
      </c>
      <c r="J7" s="87">
        <f t="shared" ca="1" si="3"/>
        <v>4000</v>
      </c>
      <c r="K7" s="87">
        <f t="shared" ca="1" si="3"/>
        <v>4000</v>
      </c>
      <c r="L7" s="87">
        <f t="shared" ca="1" si="3"/>
        <v>4000</v>
      </c>
      <c r="M7" s="88">
        <f t="shared" ca="1" si="3"/>
        <v>4000</v>
      </c>
      <c r="N7" s="45"/>
      <c r="O7" s="45"/>
      <c r="Q7" s="30"/>
    </row>
    <row r="8" spans="1:17" x14ac:dyDescent="0.25">
      <c r="A8" s="82" t="s">
        <v>43</v>
      </c>
      <c r="B8" s="69">
        <f t="shared" ca="1" si="2"/>
        <v>40</v>
      </c>
      <c r="C8" s="69">
        <f t="shared" ca="1" si="2"/>
        <v>40</v>
      </c>
      <c r="D8" s="69">
        <f t="shared" ca="1" si="2"/>
        <v>40</v>
      </c>
      <c r="E8" s="69">
        <f t="shared" ca="1" si="2"/>
        <v>40</v>
      </c>
      <c r="F8" s="69">
        <f t="shared" ca="1" si="3"/>
        <v>40</v>
      </c>
      <c r="G8" s="69">
        <f t="shared" ca="1" si="3"/>
        <v>40</v>
      </c>
      <c r="H8" s="69">
        <f t="shared" ca="1" si="3"/>
        <v>40</v>
      </c>
      <c r="I8" s="69">
        <f t="shared" ca="1" si="3"/>
        <v>40</v>
      </c>
      <c r="J8" s="69">
        <f t="shared" ca="1" si="3"/>
        <v>40</v>
      </c>
      <c r="K8" s="69">
        <f t="shared" ca="1" si="3"/>
        <v>40</v>
      </c>
      <c r="L8" s="69">
        <f t="shared" ca="1" si="3"/>
        <v>40</v>
      </c>
      <c r="M8" s="83">
        <f t="shared" ca="1" si="3"/>
        <v>40</v>
      </c>
      <c r="N8" s="45"/>
      <c r="O8" s="45"/>
      <c r="Q8" s="30"/>
    </row>
    <row r="9" spans="1:17" x14ac:dyDescent="0.25">
      <c r="A9" s="82" t="s">
        <v>4</v>
      </c>
      <c r="B9" s="69">
        <f t="shared" ca="1" si="2"/>
        <v>5000</v>
      </c>
      <c r="C9" s="69">
        <f t="shared" ca="1" si="2"/>
        <v>2800</v>
      </c>
      <c r="D9" s="69">
        <f t="shared" ca="1" si="2"/>
        <v>2800</v>
      </c>
      <c r="E9" s="69">
        <f t="shared" ca="1" si="2"/>
        <v>2064</v>
      </c>
      <c r="F9" s="69">
        <f t="shared" ca="1" si="3"/>
        <v>2064</v>
      </c>
      <c r="G9" s="69">
        <f t="shared" ca="1" si="3"/>
        <v>2064</v>
      </c>
      <c r="H9" s="69">
        <f t="shared" ca="1" si="3"/>
        <v>2064</v>
      </c>
      <c r="I9" s="69">
        <f t="shared" ca="1" si="3"/>
        <v>2064</v>
      </c>
      <c r="J9" s="69">
        <f t="shared" ca="1" si="3"/>
        <v>2064</v>
      </c>
      <c r="K9" s="69">
        <f t="shared" ca="1" si="3"/>
        <v>2064</v>
      </c>
      <c r="L9" s="69">
        <f t="shared" ca="1" si="3"/>
        <v>2064</v>
      </c>
      <c r="M9" s="83">
        <f t="shared" ca="1" si="3"/>
        <v>0</v>
      </c>
      <c r="N9" s="45"/>
      <c r="O9" s="45"/>
      <c r="Q9" s="30"/>
    </row>
    <row r="10" spans="1:17" x14ac:dyDescent="0.25">
      <c r="A10" s="82" t="s">
        <v>27</v>
      </c>
      <c r="B10" s="69">
        <f t="shared" ca="1" si="2"/>
        <v>6500</v>
      </c>
      <c r="C10" s="69">
        <f t="shared" ca="1" si="2"/>
        <v>5700</v>
      </c>
      <c r="D10" s="69">
        <f t="shared" ca="1" si="2"/>
        <v>8600</v>
      </c>
      <c r="E10" s="69">
        <f t="shared" ca="1" si="2"/>
        <v>6600</v>
      </c>
      <c r="F10" s="69">
        <f t="shared" ca="1" si="3"/>
        <v>9100</v>
      </c>
      <c r="G10" s="69">
        <f t="shared" ca="1" si="3"/>
        <v>5100</v>
      </c>
      <c r="H10" s="69">
        <f t="shared" ca="1" si="3"/>
        <v>3600</v>
      </c>
      <c r="I10" s="69">
        <f t="shared" ca="1" si="3"/>
        <v>8000</v>
      </c>
      <c r="J10" s="69">
        <f t="shared" ca="1" si="3"/>
        <v>12600</v>
      </c>
      <c r="K10" s="69">
        <f t="shared" ca="1" si="3"/>
        <v>9800</v>
      </c>
      <c r="L10" s="69">
        <f t="shared" ca="1" si="3"/>
        <v>7400</v>
      </c>
      <c r="M10" s="83">
        <f t="shared" ca="1" si="3"/>
        <v>10900</v>
      </c>
      <c r="N10" s="45"/>
      <c r="O10" s="45"/>
      <c r="Q10" s="30"/>
    </row>
    <row r="11" spans="1:17" x14ac:dyDescent="0.25">
      <c r="A11" s="82" t="s">
        <v>44</v>
      </c>
      <c r="B11" s="69">
        <f t="shared" ca="1" si="2"/>
        <v>0</v>
      </c>
      <c r="C11" s="69">
        <f t="shared" ca="1" si="2"/>
        <v>650</v>
      </c>
      <c r="D11" s="69">
        <f t="shared" ca="1" si="2"/>
        <v>0</v>
      </c>
      <c r="E11" s="69">
        <f t="shared" ca="1" si="2"/>
        <v>483</v>
      </c>
      <c r="F11" s="69">
        <f t="shared" ca="1" si="3"/>
        <v>377</v>
      </c>
      <c r="G11" s="69">
        <f t="shared" ca="1" si="3"/>
        <v>0</v>
      </c>
      <c r="H11" s="69">
        <f t="shared" ca="1" si="3"/>
        <v>500.75187969924809</v>
      </c>
      <c r="I11" s="69">
        <f t="shared" ca="1" si="3"/>
        <v>318.40796019900495</v>
      </c>
      <c r="J11" s="69">
        <f t="shared" ca="1" si="3"/>
        <v>1189.7435897435898</v>
      </c>
      <c r="K11" s="69">
        <f t="shared" ca="1" si="3"/>
        <v>0</v>
      </c>
      <c r="L11" s="69">
        <f t="shared" ca="1" si="3"/>
        <v>936.32653061224482</v>
      </c>
      <c r="M11" s="83">
        <f t="shared" ca="1" si="3"/>
        <v>437.95918367346934</v>
      </c>
      <c r="N11" s="45"/>
      <c r="O11" s="45"/>
      <c r="Q11" s="30"/>
    </row>
    <row r="12" spans="1:17" x14ac:dyDescent="0.25">
      <c r="A12" s="82" t="s">
        <v>38</v>
      </c>
      <c r="B12" s="69">
        <f t="shared" ca="1" si="2"/>
        <v>980</v>
      </c>
      <c r="C12" s="69">
        <f t="shared" ca="1" si="2"/>
        <v>150</v>
      </c>
      <c r="D12" s="69">
        <f t="shared" ca="1" si="2"/>
        <v>860</v>
      </c>
      <c r="E12" s="69">
        <f t="shared" ca="1" si="2"/>
        <v>1700</v>
      </c>
      <c r="F12" s="69">
        <f t="shared" ca="1" si="3"/>
        <v>-510</v>
      </c>
      <c r="G12" s="69">
        <f t="shared" ca="1" si="3"/>
        <v>80</v>
      </c>
      <c r="H12" s="69">
        <f t="shared" ca="1" si="3"/>
        <v>-790</v>
      </c>
      <c r="I12" s="69">
        <f t="shared" ca="1" si="3"/>
        <v>40</v>
      </c>
      <c r="J12" s="69">
        <f t="shared" ca="1" si="3"/>
        <v>1890</v>
      </c>
      <c r="K12" s="69">
        <f t="shared" ca="1" si="3"/>
        <v>-1330</v>
      </c>
      <c r="L12" s="69">
        <f t="shared" ca="1" si="3"/>
        <v>-2360</v>
      </c>
      <c r="M12" s="83">
        <f t="shared" ca="1" si="3"/>
        <v>1500</v>
      </c>
      <c r="N12" s="45"/>
      <c r="O12" s="45"/>
      <c r="Q12" s="30"/>
    </row>
    <row r="13" spans="1:17" x14ac:dyDescent="0.25">
      <c r="A13" s="82" t="s">
        <v>39</v>
      </c>
      <c r="B13" s="69">
        <f t="shared" ca="1" si="2"/>
        <v>0</v>
      </c>
      <c r="C13" s="69">
        <f t="shared" ca="1" si="2"/>
        <v>0</v>
      </c>
      <c r="D13" s="69">
        <f t="shared" ca="1" si="2"/>
        <v>0</v>
      </c>
      <c r="E13" s="69">
        <f t="shared" ca="1" si="2"/>
        <v>0</v>
      </c>
      <c r="F13" s="69">
        <f t="shared" ca="1" si="3"/>
        <v>0</v>
      </c>
      <c r="G13" s="69">
        <f t="shared" ca="1" si="3"/>
        <v>0</v>
      </c>
      <c r="H13" s="69">
        <f t="shared" ca="1" si="3"/>
        <v>0</v>
      </c>
      <c r="I13" s="69">
        <f t="shared" ca="1" si="3"/>
        <v>0</v>
      </c>
      <c r="J13" s="69">
        <f t="shared" ca="1" si="3"/>
        <v>0</v>
      </c>
      <c r="K13" s="69">
        <f t="shared" ca="1" si="3"/>
        <v>0</v>
      </c>
      <c r="L13" s="69">
        <f t="shared" ca="1" si="3"/>
        <v>0</v>
      </c>
      <c r="M13" s="83">
        <f t="shared" ca="1" si="3"/>
        <v>0</v>
      </c>
      <c r="N13" s="45"/>
      <c r="O13" s="45"/>
      <c r="Q13" s="30"/>
    </row>
    <row r="14" spans="1:17" x14ac:dyDescent="0.25">
      <c r="A14" s="82" t="s">
        <v>31</v>
      </c>
      <c r="B14" s="69">
        <f t="shared" ca="1" si="2"/>
        <v>2200</v>
      </c>
      <c r="C14" s="69">
        <f t="shared" ca="1" si="2"/>
        <v>4400</v>
      </c>
      <c r="D14" s="69">
        <f t="shared" ca="1" si="2"/>
        <v>4400</v>
      </c>
      <c r="E14" s="69">
        <f t="shared" ca="1" si="2"/>
        <v>3300</v>
      </c>
      <c r="F14" s="69">
        <f t="shared" ca="1" si="3"/>
        <v>3300</v>
      </c>
      <c r="G14" s="69">
        <f t="shared" ca="1" si="3"/>
        <v>3300</v>
      </c>
      <c r="H14" s="69">
        <f t="shared" ca="1" si="3"/>
        <v>3300</v>
      </c>
      <c r="I14" s="69">
        <f t="shared" ca="1" si="3"/>
        <v>3300</v>
      </c>
      <c r="J14" s="69">
        <f t="shared" ca="1" si="3"/>
        <v>3300</v>
      </c>
      <c r="K14" s="69">
        <f t="shared" ca="1" si="3"/>
        <v>3300</v>
      </c>
      <c r="L14" s="69">
        <f t="shared" ca="1" si="3"/>
        <v>3300</v>
      </c>
      <c r="M14" s="83">
        <f t="shared" ca="1" si="3"/>
        <v>3300</v>
      </c>
      <c r="N14" s="45"/>
      <c r="O14" s="45"/>
    </row>
    <row r="15" spans="1:17" x14ac:dyDescent="0.25">
      <c r="A15" s="82" t="s">
        <v>46</v>
      </c>
      <c r="B15" s="69">
        <f t="shared" ca="1" si="2"/>
        <v>500</v>
      </c>
      <c r="C15" s="69">
        <f t="shared" ca="1" si="2"/>
        <v>500</v>
      </c>
      <c r="D15" s="69">
        <f t="shared" ca="1" si="2"/>
        <v>500</v>
      </c>
      <c r="E15" s="69">
        <f t="shared" ca="1" si="2"/>
        <v>1430</v>
      </c>
      <c r="F15" s="69">
        <f t="shared" ca="1" si="3"/>
        <v>1430</v>
      </c>
      <c r="G15" s="69">
        <f t="shared" ca="1" si="3"/>
        <v>1430</v>
      </c>
      <c r="H15" s="69">
        <f t="shared" ca="1" si="3"/>
        <v>1430</v>
      </c>
      <c r="I15" s="69">
        <f t="shared" ca="1" si="3"/>
        <v>1430</v>
      </c>
      <c r="J15" s="69">
        <f t="shared" ca="1" si="3"/>
        <v>1430</v>
      </c>
      <c r="K15" s="69">
        <f t="shared" ca="1" si="3"/>
        <v>1430</v>
      </c>
      <c r="L15" s="69">
        <f t="shared" ca="1" si="3"/>
        <v>1430</v>
      </c>
      <c r="M15" s="83">
        <f t="shared" ca="1" si="3"/>
        <v>1430</v>
      </c>
      <c r="N15" s="45"/>
      <c r="O15" s="45"/>
    </row>
    <row r="16" spans="1:17" x14ac:dyDescent="0.25">
      <c r="A16" s="82" t="s">
        <v>45</v>
      </c>
      <c r="B16" s="69">
        <f t="shared" ca="1" si="2"/>
        <v>1825</v>
      </c>
      <c r="C16" s="69">
        <f t="shared" ca="1" si="2"/>
        <v>2220</v>
      </c>
      <c r="D16" s="69">
        <f t="shared" ca="1" si="2"/>
        <v>450</v>
      </c>
      <c r="E16" s="69">
        <f t="shared" ca="1" si="2"/>
        <v>805</v>
      </c>
      <c r="F16" s="69">
        <f t="shared" ca="1" si="3"/>
        <v>580</v>
      </c>
      <c r="G16" s="69">
        <f t="shared" ca="1" si="3"/>
        <v>1750</v>
      </c>
      <c r="H16" s="69">
        <f t="shared" ca="1" si="3"/>
        <v>581</v>
      </c>
      <c r="I16" s="69">
        <f t="shared" ca="1" si="3"/>
        <v>530</v>
      </c>
      <c r="J16" s="69">
        <f t="shared" ca="1" si="3"/>
        <v>300</v>
      </c>
      <c r="K16" s="69">
        <f t="shared" ca="1" si="3"/>
        <v>3400</v>
      </c>
      <c r="L16" s="69">
        <f t="shared" ca="1" si="3"/>
        <v>1330</v>
      </c>
      <c r="M16" s="83">
        <f t="shared" ca="1" si="3"/>
        <v>2410</v>
      </c>
      <c r="N16" s="45"/>
      <c r="O16" s="45"/>
    </row>
    <row r="17" spans="1:31" ht="15.75" thickBot="1" x14ac:dyDescent="0.3">
      <c r="A17" s="89" t="s">
        <v>47</v>
      </c>
      <c r="B17" s="90">
        <f t="shared" ca="1" si="2"/>
        <v>21045</v>
      </c>
      <c r="C17" s="90">
        <f t="shared" ca="1" si="2"/>
        <v>20460</v>
      </c>
      <c r="D17" s="90">
        <f ca="1">IFERROR(INDIRECT(D$4&amp;"!"&amp;"C"&amp;ROW()-1),"")</f>
        <v>21650</v>
      </c>
      <c r="E17" s="90">
        <f t="shared" ca="1" si="2"/>
        <v>20422</v>
      </c>
      <c r="F17" s="90">
        <f t="shared" ca="1" si="3"/>
        <v>20381</v>
      </c>
      <c r="G17" s="90">
        <f t="shared" ca="1" si="3"/>
        <v>17764</v>
      </c>
      <c r="H17" s="90">
        <f t="shared" ca="1" si="3"/>
        <v>14725.751879699248</v>
      </c>
      <c r="I17" s="90">
        <f t="shared" ca="1" si="3"/>
        <v>19722.407960199005</v>
      </c>
      <c r="J17" s="90">
        <f t="shared" ca="1" si="3"/>
        <v>26813.74358974359</v>
      </c>
      <c r="K17" s="90">
        <f t="shared" ca="1" si="3"/>
        <v>22704</v>
      </c>
      <c r="L17" s="90">
        <f t="shared" ca="1" si="3"/>
        <v>18140.326530612245</v>
      </c>
      <c r="M17" s="91">
        <f t="shared" ca="1" si="3"/>
        <v>24017.959183673469</v>
      </c>
      <c r="N17" s="2"/>
      <c r="O17" s="2"/>
    </row>
    <row r="18" spans="1:31" ht="15.75" thickBot="1" x14ac:dyDescent="0.3">
      <c r="A18" s="92"/>
      <c r="B18" s="45"/>
      <c r="C18" s="45"/>
      <c r="D18" s="45"/>
      <c r="E18" s="45"/>
      <c r="F18" s="93"/>
      <c r="G18" s="93"/>
      <c r="H18" s="93"/>
      <c r="I18" s="93"/>
      <c r="J18" s="93"/>
      <c r="K18" s="93"/>
      <c r="L18" s="93"/>
      <c r="M18" s="94"/>
      <c r="N18" s="65"/>
      <c r="O18" s="65"/>
    </row>
    <row r="19" spans="1:31" ht="15.75" thickBot="1" x14ac:dyDescent="0.3">
      <c r="A19" s="16" t="s">
        <v>32</v>
      </c>
      <c r="B19" s="95">
        <f t="shared" ref="B19:E30" ca="1" si="4">IFERROR(INDIRECT(B$4&amp;"!"&amp;"C"&amp;ROW()-1),"")</f>
        <v>13155</v>
      </c>
      <c r="C19" s="95">
        <f t="shared" ca="1" si="4"/>
        <v>9110</v>
      </c>
      <c r="D19" s="95">
        <f t="shared" ca="1" si="4"/>
        <v>17050</v>
      </c>
      <c r="E19" s="95">
        <f t="shared" ca="1" si="4"/>
        <v>16268</v>
      </c>
      <c r="F19" s="95">
        <f t="shared" ca="1" si="3"/>
        <v>16459</v>
      </c>
      <c r="G19" s="95">
        <f t="shared" ca="1" si="3"/>
        <v>12046</v>
      </c>
      <c r="H19" s="95">
        <f t="shared" ca="1" si="3"/>
        <v>16414.248120300752</v>
      </c>
      <c r="I19" s="95">
        <f t="shared" ca="1" si="3"/>
        <v>15627.592039800995</v>
      </c>
      <c r="J19" s="95">
        <f t="shared" ca="1" si="3"/>
        <v>27274.25641025641</v>
      </c>
      <c r="K19" s="95">
        <f t="shared" ca="1" si="3"/>
        <v>14926</v>
      </c>
      <c r="L19" s="95">
        <f t="shared" ca="1" si="3"/>
        <v>23086.673469387755</v>
      </c>
      <c r="M19" s="96">
        <f t="shared" ca="1" si="3"/>
        <v>28105.040816326531</v>
      </c>
      <c r="N19" s="2"/>
      <c r="O19" s="2"/>
    </row>
    <row r="20" spans="1:31" ht="15.75" thickBot="1" x14ac:dyDescent="0.3">
      <c r="A20" s="92"/>
      <c r="B20" s="93"/>
      <c r="C20" s="93"/>
      <c r="D20" s="93"/>
      <c r="E20" s="93"/>
      <c r="F20" s="93"/>
      <c r="G20" s="93"/>
      <c r="H20" s="93"/>
      <c r="I20" s="93"/>
      <c r="J20" s="93"/>
      <c r="K20" s="93"/>
      <c r="L20" s="93"/>
      <c r="M20" s="94"/>
      <c r="N20" s="67"/>
      <c r="O20" s="67"/>
    </row>
    <row r="21" spans="1:31" ht="15.75" thickBot="1" x14ac:dyDescent="0.3">
      <c r="A21" s="16" t="s">
        <v>48</v>
      </c>
      <c r="B21" s="95">
        <f t="shared" ca="1" si="4"/>
        <v>9000</v>
      </c>
      <c r="C21" s="95">
        <f t="shared" ca="1" si="4"/>
        <v>6800</v>
      </c>
      <c r="D21" s="95">
        <f t="shared" ca="1" si="4"/>
        <v>6800</v>
      </c>
      <c r="E21" s="95">
        <f t="shared" ca="1" si="4"/>
        <v>6100</v>
      </c>
      <c r="F21" s="95">
        <f t="shared" ca="1" si="3"/>
        <v>6100</v>
      </c>
      <c r="G21" s="95">
        <f t="shared" ca="1" si="3"/>
        <v>6100</v>
      </c>
      <c r="H21" s="95">
        <f t="shared" ca="1" si="3"/>
        <v>6100</v>
      </c>
      <c r="I21" s="95">
        <f t="shared" ca="1" si="3"/>
        <v>6100</v>
      </c>
      <c r="J21" s="95">
        <f t="shared" ca="1" si="3"/>
        <v>6100</v>
      </c>
      <c r="K21" s="95">
        <f t="shared" ca="1" si="3"/>
        <v>6100</v>
      </c>
      <c r="L21" s="95">
        <f t="shared" ca="1" si="3"/>
        <v>6100</v>
      </c>
      <c r="M21" s="96">
        <f t="shared" ca="1" si="3"/>
        <v>4000</v>
      </c>
      <c r="N21" s="2"/>
      <c r="O21" s="2"/>
    </row>
    <row r="22" spans="1:31" ht="15.75" thickBot="1" x14ac:dyDescent="0.3">
      <c r="A22" s="92"/>
      <c r="B22" s="93"/>
      <c r="C22" s="93"/>
      <c r="D22" s="93"/>
      <c r="E22" s="93"/>
      <c r="F22" s="93"/>
      <c r="G22" s="93"/>
      <c r="H22" s="93"/>
      <c r="I22" s="93"/>
      <c r="J22" s="93"/>
      <c r="K22" s="93"/>
      <c r="L22" s="93"/>
      <c r="M22" s="94"/>
      <c r="N22" s="67"/>
      <c r="O22" s="67"/>
      <c r="AC22" s="45"/>
      <c r="AD22" s="68"/>
      <c r="AE22" s="45"/>
    </row>
    <row r="23" spans="1:31" x14ac:dyDescent="0.25">
      <c r="A23" s="102" t="s">
        <v>53</v>
      </c>
      <c r="B23" s="103">
        <f t="shared" ca="1" si="4"/>
        <v>13155</v>
      </c>
      <c r="C23" s="103">
        <f t="shared" ca="1" si="4"/>
        <v>9110</v>
      </c>
      <c r="D23" s="103">
        <f t="shared" ca="1" si="4"/>
        <v>17050</v>
      </c>
      <c r="E23" s="103">
        <f t="shared" ca="1" si="4"/>
        <v>16268</v>
      </c>
      <c r="F23" s="103">
        <f t="shared" ca="1" si="3"/>
        <v>16459</v>
      </c>
      <c r="G23" s="103">
        <f t="shared" ca="1" si="3"/>
        <v>12046</v>
      </c>
      <c r="H23" s="103">
        <f t="shared" ca="1" si="3"/>
        <v>16414.248120300752</v>
      </c>
      <c r="I23" s="103">
        <f t="shared" ca="1" si="3"/>
        <v>15627.592039800995</v>
      </c>
      <c r="J23" s="103">
        <f t="shared" ca="1" si="3"/>
        <v>27274.25641025641</v>
      </c>
      <c r="K23" s="103">
        <f t="shared" ca="1" si="3"/>
        <v>14926</v>
      </c>
      <c r="L23" s="103">
        <f t="shared" ca="1" si="3"/>
        <v>23086.673469387755</v>
      </c>
      <c r="M23" s="104">
        <f t="shared" ca="1" si="3"/>
        <v>28105.040816326531</v>
      </c>
      <c r="N23" s="2"/>
      <c r="O23" s="2"/>
      <c r="AC23" s="45"/>
      <c r="AD23" s="68"/>
      <c r="AE23" s="45"/>
    </row>
    <row r="24" spans="1:31" x14ac:dyDescent="0.25">
      <c r="A24" s="84" t="s">
        <v>50</v>
      </c>
      <c r="B24" s="70">
        <f t="shared" ca="1" si="4"/>
        <v>0</v>
      </c>
      <c r="C24" s="70">
        <f t="shared" ca="1" si="4"/>
        <v>0</v>
      </c>
      <c r="D24" s="70">
        <f t="shared" ca="1" si="4"/>
        <v>0</v>
      </c>
      <c r="E24" s="70">
        <f t="shared" ca="1" si="4"/>
        <v>0</v>
      </c>
      <c r="F24" s="70">
        <f t="shared" ca="1" si="3"/>
        <v>0</v>
      </c>
      <c r="G24" s="70">
        <f t="shared" ca="1" si="3"/>
        <v>0</v>
      </c>
      <c r="H24" s="70">
        <f t="shared" ca="1" si="3"/>
        <v>0</v>
      </c>
      <c r="I24" s="70">
        <f t="shared" ca="1" si="3"/>
        <v>0</v>
      </c>
      <c r="J24" s="70">
        <f t="shared" ca="1" si="3"/>
        <v>0</v>
      </c>
      <c r="K24" s="70">
        <f t="shared" ca="1" si="3"/>
        <v>0</v>
      </c>
      <c r="L24" s="70">
        <f t="shared" ca="1" si="3"/>
        <v>0</v>
      </c>
      <c r="M24" s="85">
        <f t="shared" ca="1" si="3"/>
        <v>0</v>
      </c>
      <c r="N24" s="45"/>
      <c r="O24" s="45"/>
      <c r="AC24" s="45"/>
      <c r="AD24" s="68"/>
      <c r="AE24" s="45"/>
    </row>
    <row r="25" spans="1:31" x14ac:dyDescent="0.25">
      <c r="A25" s="84" t="s">
        <v>40</v>
      </c>
      <c r="B25" s="70">
        <f t="shared" ca="1" si="4"/>
        <v>0</v>
      </c>
      <c r="C25" s="70">
        <f t="shared" ca="1" si="4"/>
        <v>0</v>
      </c>
      <c r="D25" s="70">
        <f t="shared" ca="1" si="4"/>
        <v>0</v>
      </c>
      <c r="E25" s="70">
        <f t="shared" ca="1" si="4"/>
        <v>0</v>
      </c>
      <c r="F25" s="70">
        <f t="shared" ca="1" si="3"/>
        <v>0</v>
      </c>
      <c r="G25" s="70">
        <f t="shared" ca="1" si="3"/>
        <v>0</v>
      </c>
      <c r="H25" s="70">
        <f t="shared" ca="1" si="3"/>
        <v>0</v>
      </c>
      <c r="I25" s="70">
        <f t="shared" ca="1" si="3"/>
        <v>0</v>
      </c>
      <c r="J25" s="70">
        <f t="shared" ca="1" si="3"/>
        <v>0</v>
      </c>
      <c r="K25" s="70">
        <f t="shared" ca="1" si="3"/>
        <v>0</v>
      </c>
      <c r="L25" s="70">
        <f t="shared" ca="1" si="3"/>
        <v>0</v>
      </c>
      <c r="M25" s="85">
        <f t="shared" ca="1" si="3"/>
        <v>0</v>
      </c>
      <c r="N25" s="45"/>
      <c r="O25" s="45"/>
      <c r="AC25" s="45"/>
      <c r="AD25" s="68"/>
      <c r="AE25" s="45"/>
    </row>
    <row r="26" spans="1:31" x14ac:dyDescent="0.25">
      <c r="A26" s="84" t="s">
        <v>51</v>
      </c>
      <c r="B26" s="70">
        <f t="shared" ca="1" si="4"/>
        <v>0</v>
      </c>
      <c r="C26" s="70">
        <f t="shared" ca="1" si="4"/>
        <v>0</v>
      </c>
      <c r="D26" s="70">
        <f t="shared" ca="1" si="4"/>
        <v>0</v>
      </c>
      <c r="E26" s="70">
        <f t="shared" ca="1" si="4"/>
        <v>0</v>
      </c>
      <c r="F26" s="70">
        <f t="shared" ca="1" si="3"/>
        <v>0</v>
      </c>
      <c r="G26" s="70">
        <f t="shared" ca="1" si="3"/>
        <v>0</v>
      </c>
      <c r="H26" s="70">
        <f t="shared" ca="1" si="3"/>
        <v>0</v>
      </c>
      <c r="I26" s="70">
        <f t="shared" ca="1" si="3"/>
        <v>0</v>
      </c>
      <c r="J26" s="70">
        <f t="shared" ca="1" si="3"/>
        <v>0</v>
      </c>
      <c r="K26" s="70">
        <f t="shared" ca="1" si="3"/>
        <v>0</v>
      </c>
      <c r="L26" s="70">
        <f t="shared" ca="1" si="3"/>
        <v>0</v>
      </c>
      <c r="M26" s="85">
        <f t="shared" ca="1" si="3"/>
        <v>0</v>
      </c>
      <c r="N26" s="45"/>
      <c r="O26" s="45"/>
      <c r="AC26" s="45"/>
      <c r="AD26" s="68"/>
      <c r="AE26" s="45"/>
    </row>
    <row r="27" spans="1:31" x14ac:dyDescent="0.25">
      <c r="A27" s="84" t="s">
        <v>52</v>
      </c>
      <c r="B27" s="70">
        <f t="shared" ca="1" si="4"/>
        <v>0</v>
      </c>
      <c r="C27" s="70">
        <f t="shared" ca="1" si="4"/>
        <v>0</v>
      </c>
      <c r="D27" s="70">
        <f t="shared" ca="1" si="4"/>
        <v>0</v>
      </c>
      <c r="E27" s="70">
        <f t="shared" ca="1" si="4"/>
        <v>0</v>
      </c>
      <c r="F27" s="70">
        <f t="shared" ca="1" si="3"/>
        <v>0</v>
      </c>
      <c r="G27" s="70">
        <f t="shared" ca="1" si="3"/>
        <v>0</v>
      </c>
      <c r="H27" s="70">
        <f t="shared" ca="1" si="3"/>
        <v>0</v>
      </c>
      <c r="I27" s="70">
        <f t="shared" ca="1" si="3"/>
        <v>0</v>
      </c>
      <c r="J27" s="70">
        <f t="shared" ca="1" si="3"/>
        <v>0</v>
      </c>
      <c r="K27" s="70">
        <f t="shared" ca="1" si="3"/>
        <v>0</v>
      </c>
      <c r="L27" s="70">
        <f t="shared" ca="1" si="3"/>
        <v>0</v>
      </c>
      <c r="M27" s="85">
        <f t="shared" ca="1" si="3"/>
        <v>0</v>
      </c>
      <c r="N27" s="45"/>
      <c r="O27" s="45"/>
      <c r="AC27" s="45"/>
      <c r="AD27" s="68"/>
      <c r="AE27" s="45"/>
    </row>
    <row r="28" spans="1:31" ht="15.75" thickBot="1" x14ac:dyDescent="0.3">
      <c r="A28" s="105" t="s">
        <v>54</v>
      </c>
      <c r="B28" s="106">
        <f t="shared" ca="1" si="4"/>
        <v>13155</v>
      </c>
      <c r="C28" s="106">
        <f t="shared" ca="1" si="4"/>
        <v>9110</v>
      </c>
      <c r="D28" s="106">
        <f t="shared" ca="1" si="4"/>
        <v>17050</v>
      </c>
      <c r="E28" s="106">
        <f t="shared" ca="1" si="4"/>
        <v>16268</v>
      </c>
      <c r="F28" s="106">
        <f t="shared" ca="1" si="3"/>
        <v>16459</v>
      </c>
      <c r="G28" s="106">
        <f t="shared" ca="1" si="3"/>
        <v>12046</v>
      </c>
      <c r="H28" s="106">
        <f t="shared" ca="1" si="3"/>
        <v>16414.248120300752</v>
      </c>
      <c r="I28" s="106">
        <f t="shared" ca="1" si="3"/>
        <v>15627.592039800995</v>
      </c>
      <c r="J28" s="106">
        <f t="shared" ca="1" si="3"/>
        <v>27274.25641025641</v>
      </c>
      <c r="K28" s="106">
        <f t="shared" ca="1" si="3"/>
        <v>14926</v>
      </c>
      <c r="L28" s="106">
        <f t="shared" ca="1" si="3"/>
        <v>23086.673469387755</v>
      </c>
      <c r="M28" s="107">
        <f t="shared" ca="1" si="3"/>
        <v>28105.040816326531</v>
      </c>
      <c r="N28" s="2"/>
      <c r="O28" s="2"/>
      <c r="AC28" s="45"/>
      <c r="AD28" s="68"/>
      <c r="AE28" s="45"/>
    </row>
    <row r="29" spans="1:31" ht="15.75" thickBot="1" x14ac:dyDescent="0.3">
      <c r="A29" s="92"/>
      <c r="B29" s="93"/>
      <c r="C29" s="93"/>
      <c r="D29" s="93"/>
      <c r="E29" s="93"/>
      <c r="F29" s="93"/>
      <c r="G29" s="93"/>
      <c r="H29" s="93"/>
      <c r="I29" s="93"/>
      <c r="J29" s="93"/>
      <c r="K29" s="93"/>
      <c r="L29" s="93"/>
      <c r="M29" s="94"/>
      <c r="N29" s="33"/>
      <c r="O29" s="33"/>
      <c r="AC29" s="45"/>
      <c r="AD29" s="68"/>
      <c r="AE29" s="45"/>
    </row>
    <row r="30" spans="1:31" ht="15.75" thickBot="1" x14ac:dyDescent="0.3">
      <c r="A30" s="16" t="s">
        <v>28</v>
      </c>
      <c r="B30" s="95">
        <f t="shared" ca="1" si="4"/>
        <v>22395</v>
      </c>
      <c r="C30" s="95">
        <f t="shared" ca="1" si="4"/>
        <v>44945</v>
      </c>
      <c r="D30" s="95">
        <f t="shared" ca="1" si="4"/>
        <v>82335</v>
      </c>
      <c r="E30" s="95">
        <f t="shared" ca="1" si="4"/>
        <v>109237</v>
      </c>
      <c r="F30" s="95">
        <f t="shared" ca="1" si="3"/>
        <v>145497</v>
      </c>
      <c r="G30" s="95">
        <f t="shared" ca="1" si="3"/>
        <v>173557</v>
      </c>
      <c r="H30" s="95">
        <f t="shared" ca="1" si="3"/>
        <v>204116</v>
      </c>
      <c r="I30" s="95">
        <f t="shared" ca="1" si="3"/>
        <v>238936</v>
      </c>
      <c r="J30" s="95">
        <f t="shared" ca="1" si="3"/>
        <v>292224</v>
      </c>
      <c r="K30" s="95">
        <f t="shared" ca="1" si="3"/>
        <v>326454</v>
      </c>
      <c r="L30" s="95">
        <f t="shared" ca="1" si="3"/>
        <v>366351</v>
      </c>
      <c r="M30" s="96">
        <f t="shared" ca="1" si="3"/>
        <v>416064</v>
      </c>
      <c r="N30" s="2"/>
      <c r="O30" s="2"/>
    </row>
    <row r="31" spans="1:31" x14ac:dyDescent="0.25">
      <c r="G31" s="2"/>
    </row>
    <row r="32" spans="1:31" ht="15.75" thickBot="1" x14ac:dyDescent="0.3">
      <c r="A32" s="75" t="s">
        <v>58</v>
      </c>
      <c r="B32" s="75" t="s">
        <v>59</v>
      </c>
      <c r="C32" s="75" t="s">
        <v>60</v>
      </c>
      <c r="D32" s="75" t="s">
        <v>61</v>
      </c>
      <c r="E32" s="75" t="s">
        <v>62</v>
      </c>
      <c r="F32" s="75" t="s">
        <v>63</v>
      </c>
      <c r="G32" s="75" t="s">
        <v>64</v>
      </c>
      <c r="H32" s="75" t="s">
        <v>65</v>
      </c>
      <c r="I32" s="75" t="s">
        <v>66</v>
      </c>
      <c r="J32" s="75" t="s">
        <v>67</v>
      </c>
      <c r="K32" s="75" t="s">
        <v>68</v>
      </c>
      <c r="L32" s="75" t="s">
        <v>69</v>
      </c>
      <c r="M32" s="75" t="s">
        <v>70</v>
      </c>
      <c r="N32" s="75" t="s">
        <v>71</v>
      </c>
      <c r="O32" s="75" t="s">
        <v>72</v>
      </c>
    </row>
    <row r="33" spans="1:19" ht="15" customHeight="1" x14ac:dyDescent="0.25">
      <c r="A33" s="108">
        <f>'1'!J1</f>
        <v>30</v>
      </c>
      <c r="B33" s="109">
        <f>'1'!K1</f>
        <v>30</v>
      </c>
      <c r="C33" s="109">
        <f>'1'!L1</f>
        <v>30</v>
      </c>
      <c r="D33" s="109">
        <f>'1'!M1</f>
        <v>35</v>
      </c>
      <c r="E33" s="109">
        <f>'1'!N1</f>
        <v>30</v>
      </c>
      <c r="F33" s="109">
        <f>'1'!O1</f>
        <v>25</v>
      </c>
      <c r="G33" s="109">
        <f>'1'!P1</f>
        <v>25</v>
      </c>
      <c r="H33" s="109">
        <f>'1'!Q1</f>
        <v>30</v>
      </c>
      <c r="I33" s="109">
        <f>'1'!R1</f>
        <v>35</v>
      </c>
      <c r="J33" s="109">
        <f>'1'!S1</f>
        <v>35</v>
      </c>
      <c r="K33" s="109">
        <f>'1'!T1</f>
        <v>30</v>
      </c>
      <c r="L33" s="109">
        <f>'1'!U1</f>
        <v>35</v>
      </c>
      <c r="M33" s="109">
        <f>'1'!V1</f>
        <v>35</v>
      </c>
      <c r="N33" s="109">
        <f>'1'!W1</f>
        <v>30</v>
      </c>
      <c r="O33" s="109">
        <f>'1'!X1</f>
        <v>30</v>
      </c>
      <c r="P33" s="142" t="s">
        <v>25</v>
      </c>
      <c r="Q33" s="142" t="s">
        <v>35</v>
      </c>
      <c r="R33" s="144" t="s">
        <v>34</v>
      </c>
    </row>
    <row r="34" spans="1:19" ht="30" x14ac:dyDescent="0.25">
      <c r="A34" s="110" t="str">
        <f>'1'!J2</f>
        <v>Эспрессо шоколадный</v>
      </c>
      <c r="B34" s="111" t="str">
        <f>'1'!K2</f>
        <v>Американо</v>
      </c>
      <c r="C34" s="111" t="str">
        <f>'1'!L2</f>
        <v>Маккиато</v>
      </c>
      <c r="D34" s="111" t="str">
        <f>'1'!M2</f>
        <v>Каппучино</v>
      </c>
      <c r="E34" s="111" t="str">
        <f>'1'!N2</f>
        <v>Кофе со сливками</v>
      </c>
      <c r="F34" s="111" t="str">
        <f>'1'!O2</f>
        <v>Мокка ванильный</v>
      </c>
      <c r="G34" s="111" t="str">
        <f>'1'!P2</f>
        <v>Мокка ореховый</v>
      </c>
      <c r="H34" s="111" t="str">
        <f>'1'!Q2</f>
        <v>Латте</v>
      </c>
      <c r="I34" s="111" t="str">
        <f>'1'!R2</f>
        <v>Каппучино ванильный</v>
      </c>
      <c r="J34" s="111" t="str">
        <f>'1'!S2</f>
        <v>Кофе по венски</v>
      </c>
      <c r="K34" s="111" t="str">
        <f>'1'!T2</f>
        <v>Горячий шоколад</v>
      </c>
      <c r="L34" s="111" t="str">
        <f>'1'!U2</f>
        <v>Двойной шоколад</v>
      </c>
      <c r="M34" s="111" t="str">
        <f>'1'!V2</f>
        <v>Шоколад на молоке</v>
      </c>
      <c r="N34" s="111" t="str">
        <f>'1'!W2</f>
        <v>Белый кофе</v>
      </c>
      <c r="O34" s="111" t="str">
        <f>'1'!X2</f>
        <v>Ореховый кофе</v>
      </c>
      <c r="P34" s="143"/>
      <c r="Q34" s="146"/>
      <c r="R34" s="145"/>
      <c r="S34" s="7"/>
    </row>
    <row r="35" spans="1:19" x14ac:dyDescent="0.25">
      <c r="A35" s="112">
        <f t="shared" ref="A35:B46" ca="1" si="5">INDIRECT($R35&amp;"!"&amp;A$32&amp;34)</f>
        <v>29</v>
      </c>
      <c r="B35" s="26">
        <f t="shared" ca="1" si="5"/>
        <v>41</v>
      </c>
      <c r="C35" s="26">
        <f t="shared" ref="C35:O35" ca="1" si="6">INDIRECT($R35&amp;"!"&amp;C$32&amp;34)</f>
        <v>27</v>
      </c>
      <c r="D35" s="26">
        <f t="shared" ca="1" si="6"/>
        <v>121</v>
      </c>
      <c r="E35" s="26">
        <f t="shared" ca="1" si="6"/>
        <v>108</v>
      </c>
      <c r="F35" s="26">
        <f t="shared" ca="1" si="6"/>
        <v>90</v>
      </c>
      <c r="G35" s="26">
        <f t="shared" ca="1" si="6"/>
        <v>28</v>
      </c>
      <c r="H35" s="26">
        <f t="shared" ca="1" si="6"/>
        <v>246</v>
      </c>
      <c r="I35" s="26">
        <f t="shared" ca="1" si="6"/>
        <v>37</v>
      </c>
      <c r="J35" s="26">
        <f t="shared" ca="1" si="6"/>
        <v>48</v>
      </c>
      <c r="K35" s="26">
        <f t="shared" ca="1" si="6"/>
        <v>63</v>
      </c>
      <c r="L35" s="26">
        <f t="shared" ca="1" si="6"/>
        <v>85</v>
      </c>
      <c r="M35" s="26">
        <f t="shared" ca="1" si="6"/>
        <v>88</v>
      </c>
      <c r="N35" s="26">
        <f t="shared" ca="1" si="6"/>
        <v>71</v>
      </c>
      <c r="O35" s="26">
        <f t="shared" ca="1" si="6"/>
        <v>36</v>
      </c>
      <c r="P35" s="27">
        <f t="shared" ref="P35:P36" ca="1" si="7">SUM(A35:O35)</f>
        <v>1118</v>
      </c>
      <c r="Q35" s="28">
        <f ca="1">INT(P35/S35)</f>
        <v>36</v>
      </c>
      <c r="R35" s="113">
        <v>1</v>
      </c>
      <c r="S35" s="7">
        <v>31</v>
      </c>
    </row>
    <row r="36" spans="1:19" x14ac:dyDescent="0.25">
      <c r="A36" s="112">
        <f t="shared" ca="1" si="5"/>
        <v>37</v>
      </c>
      <c r="B36" s="26">
        <f t="shared" ca="1" si="5"/>
        <v>46</v>
      </c>
      <c r="C36" s="26">
        <f t="shared" ref="C36:O46" ca="1" si="8">INDIRECT($R36&amp;"!"&amp;C$32&amp;34)</f>
        <v>29</v>
      </c>
      <c r="D36" s="26">
        <f t="shared" ca="1" si="8"/>
        <v>110</v>
      </c>
      <c r="E36" s="26">
        <f t="shared" ca="1" si="8"/>
        <v>96</v>
      </c>
      <c r="F36" s="26">
        <f t="shared" ca="1" si="8"/>
        <v>67</v>
      </c>
      <c r="G36" s="26">
        <f t="shared" ca="1" si="8"/>
        <v>71</v>
      </c>
      <c r="H36" s="26">
        <f t="shared" ca="1" si="8"/>
        <v>117</v>
      </c>
      <c r="I36" s="26">
        <f t="shared" ca="1" si="8"/>
        <v>53</v>
      </c>
      <c r="J36" s="26">
        <f t="shared" ca="1" si="8"/>
        <v>57</v>
      </c>
      <c r="K36" s="26">
        <f t="shared" ca="1" si="8"/>
        <v>60</v>
      </c>
      <c r="L36" s="26">
        <f t="shared" ca="1" si="8"/>
        <v>76</v>
      </c>
      <c r="M36" s="26">
        <f t="shared" ca="1" si="8"/>
        <v>69</v>
      </c>
      <c r="N36" s="26">
        <f t="shared" ca="1" si="8"/>
        <v>74</v>
      </c>
      <c r="O36" s="26">
        <f t="shared" ca="1" si="8"/>
        <v>31</v>
      </c>
      <c r="P36" s="27">
        <f t="shared" ca="1" si="7"/>
        <v>993</v>
      </c>
      <c r="Q36" s="28">
        <f t="shared" ref="Q36:Q46" ca="1" si="9">INT(P36/S36)</f>
        <v>34</v>
      </c>
      <c r="R36" s="113">
        <v>2</v>
      </c>
      <c r="S36" s="7">
        <v>29</v>
      </c>
    </row>
    <row r="37" spans="1:19" x14ac:dyDescent="0.25">
      <c r="A37" s="112">
        <f t="shared" ca="1" si="5"/>
        <v>42</v>
      </c>
      <c r="B37" s="26">
        <f t="shared" ca="1" si="5"/>
        <v>40</v>
      </c>
      <c r="C37" s="26">
        <f t="shared" ca="1" si="8"/>
        <v>34</v>
      </c>
      <c r="D37" s="26">
        <f t="shared" ca="1" si="8"/>
        <v>131</v>
      </c>
      <c r="E37" s="26">
        <f t="shared" ca="1" si="8"/>
        <v>139</v>
      </c>
      <c r="F37" s="26">
        <f t="shared" ca="1" si="8"/>
        <v>77</v>
      </c>
      <c r="G37" s="26">
        <f t="shared" ca="1" si="8"/>
        <v>43</v>
      </c>
      <c r="H37" s="26">
        <f t="shared" ca="1" si="8"/>
        <v>182</v>
      </c>
      <c r="I37" s="26">
        <f t="shared" ca="1" si="8"/>
        <v>46</v>
      </c>
      <c r="J37" s="26">
        <f t="shared" ca="1" si="8"/>
        <v>35</v>
      </c>
      <c r="K37" s="26">
        <f t="shared" ca="1" si="8"/>
        <v>57</v>
      </c>
      <c r="L37" s="26">
        <f t="shared" ca="1" si="8"/>
        <v>77</v>
      </c>
      <c r="M37" s="26">
        <f t="shared" ca="1" si="8"/>
        <v>68</v>
      </c>
      <c r="N37" s="26">
        <f t="shared" ca="1" si="8"/>
        <v>60</v>
      </c>
      <c r="O37" s="26">
        <f t="shared" ca="1" si="8"/>
        <v>22</v>
      </c>
      <c r="P37" s="27">
        <f ca="1">SUM(A37:O37)</f>
        <v>1053</v>
      </c>
      <c r="Q37" s="28">
        <f t="shared" ca="1" si="9"/>
        <v>33</v>
      </c>
      <c r="R37" s="113">
        <v>3</v>
      </c>
      <c r="S37" s="7">
        <v>31</v>
      </c>
    </row>
    <row r="38" spans="1:19" x14ac:dyDescent="0.25">
      <c r="A38" s="112">
        <f t="shared" ca="1" si="5"/>
        <v>54</v>
      </c>
      <c r="B38" s="26">
        <f t="shared" ca="1" si="5"/>
        <v>31</v>
      </c>
      <c r="C38" s="26">
        <f t="shared" ca="1" si="8"/>
        <v>28</v>
      </c>
      <c r="D38" s="26">
        <f t="shared" ca="1" si="8"/>
        <v>183</v>
      </c>
      <c r="E38" s="26">
        <f t="shared" ca="1" si="8"/>
        <v>96</v>
      </c>
      <c r="F38" s="26">
        <f t="shared" ca="1" si="8"/>
        <v>89</v>
      </c>
      <c r="G38" s="26">
        <f t="shared" ca="1" si="8"/>
        <v>40</v>
      </c>
      <c r="H38" s="26">
        <f t="shared" ca="1" si="8"/>
        <v>138</v>
      </c>
      <c r="I38" s="26">
        <f t="shared" ca="1" si="8"/>
        <v>39</v>
      </c>
      <c r="J38" s="26">
        <f t="shared" ca="1" si="8"/>
        <v>49</v>
      </c>
      <c r="K38" s="26">
        <f t="shared" ca="1" si="8"/>
        <v>63</v>
      </c>
      <c r="L38" s="26">
        <f t="shared" ca="1" si="8"/>
        <v>66</v>
      </c>
      <c r="M38" s="26">
        <f t="shared" ca="1" si="8"/>
        <v>77</v>
      </c>
      <c r="N38" s="26">
        <f t="shared" ca="1" si="8"/>
        <v>89</v>
      </c>
      <c r="O38" s="26">
        <f t="shared" ca="1" si="8"/>
        <v>28</v>
      </c>
      <c r="P38" s="27">
        <f t="shared" ref="P38:P46" ca="1" si="10">SUM(A38:O38)</f>
        <v>1070</v>
      </c>
      <c r="Q38" s="28">
        <f t="shared" ca="1" si="9"/>
        <v>35</v>
      </c>
      <c r="R38" s="113">
        <v>4</v>
      </c>
      <c r="S38" s="7">
        <v>30</v>
      </c>
    </row>
    <row r="39" spans="1:19" x14ac:dyDescent="0.25">
      <c r="A39" s="112">
        <f t="shared" ca="1" si="5"/>
        <v>36</v>
      </c>
      <c r="B39" s="26">
        <f t="shared" ca="1" si="5"/>
        <v>37</v>
      </c>
      <c r="C39" s="26">
        <f t="shared" ca="1" si="8"/>
        <v>25</v>
      </c>
      <c r="D39" s="26">
        <f t="shared" ca="1" si="8"/>
        <v>228</v>
      </c>
      <c r="E39" s="26">
        <f t="shared" ca="1" si="8"/>
        <v>116</v>
      </c>
      <c r="F39" s="26">
        <f t="shared" ca="1" si="8"/>
        <v>88</v>
      </c>
      <c r="G39" s="26">
        <f t="shared" ca="1" si="8"/>
        <v>38</v>
      </c>
      <c r="H39" s="26">
        <f t="shared" ca="1" si="8"/>
        <v>171</v>
      </c>
      <c r="I39" s="26">
        <f t="shared" ca="1" si="8"/>
        <v>85</v>
      </c>
      <c r="J39" s="26">
        <f t="shared" ca="1" si="8"/>
        <v>59</v>
      </c>
      <c r="K39" s="26">
        <f t="shared" ca="1" si="8"/>
        <v>58</v>
      </c>
      <c r="L39" s="26">
        <f t="shared" ca="1" si="8"/>
        <v>78</v>
      </c>
      <c r="M39" s="26">
        <f t="shared" ca="1" si="8"/>
        <v>64</v>
      </c>
      <c r="N39" s="26">
        <f t="shared" ca="1" si="8"/>
        <v>43</v>
      </c>
      <c r="O39" s="26">
        <f t="shared" ca="1" si="8"/>
        <v>23</v>
      </c>
      <c r="P39" s="27">
        <f t="shared" ca="1" si="10"/>
        <v>1149</v>
      </c>
      <c r="Q39" s="28">
        <f t="shared" ca="1" si="9"/>
        <v>37</v>
      </c>
      <c r="R39" s="113">
        <v>5</v>
      </c>
      <c r="S39" s="7">
        <v>31</v>
      </c>
    </row>
    <row r="40" spans="1:19" x14ac:dyDescent="0.25">
      <c r="A40" s="112">
        <f t="shared" ca="1" si="5"/>
        <v>49</v>
      </c>
      <c r="B40" s="26">
        <f t="shared" ca="1" si="5"/>
        <v>30</v>
      </c>
      <c r="C40" s="26">
        <f t="shared" ca="1" si="8"/>
        <v>18</v>
      </c>
      <c r="D40" s="26">
        <f t="shared" ca="1" si="8"/>
        <v>233</v>
      </c>
      <c r="E40" s="26">
        <f t="shared" ca="1" si="8"/>
        <v>132</v>
      </c>
      <c r="F40" s="26">
        <f t="shared" ca="1" si="8"/>
        <v>37</v>
      </c>
      <c r="G40" s="26">
        <f t="shared" ca="1" si="8"/>
        <v>28</v>
      </c>
      <c r="H40" s="26">
        <f t="shared" ca="1" si="8"/>
        <v>104</v>
      </c>
      <c r="I40" s="26">
        <f t="shared" ca="1" si="8"/>
        <v>56</v>
      </c>
      <c r="J40" s="26">
        <f t="shared" ca="1" si="8"/>
        <v>53</v>
      </c>
      <c r="K40" s="26">
        <f t="shared" ca="1" si="8"/>
        <v>39</v>
      </c>
      <c r="L40" s="26">
        <f t="shared" ca="1" si="8"/>
        <v>43</v>
      </c>
      <c r="M40" s="26">
        <f t="shared" ca="1" si="8"/>
        <v>55</v>
      </c>
      <c r="N40" s="26">
        <f t="shared" ca="1" si="8"/>
        <v>61</v>
      </c>
      <c r="O40" s="26">
        <f t="shared" ca="1" si="8"/>
        <v>28</v>
      </c>
      <c r="P40" s="27">
        <f t="shared" ca="1" si="10"/>
        <v>966</v>
      </c>
      <c r="Q40" s="28">
        <f t="shared" ca="1" si="9"/>
        <v>32</v>
      </c>
      <c r="R40" s="113">
        <v>6</v>
      </c>
      <c r="S40" s="7">
        <v>30</v>
      </c>
    </row>
    <row r="41" spans="1:19" x14ac:dyDescent="0.25">
      <c r="A41" s="112">
        <f t="shared" ca="1" si="5"/>
        <v>78</v>
      </c>
      <c r="B41" s="26">
        <f t="shared" ca="1" si="5"/>
        <v>43</v>
      </c>
      <c r="C41" s="26">
        <f t="shared" ca="1" si="8"/>
        <v>26</v>
      </c>
      <c r="D41" s="26">
        <f t="shared" ca="1" si="8"/>
        <v>217</v>
      </c>
      <c r="E41" s="26">
        <f t="shared" ca="1" si="8"/>
        <v>99</v>
      </c>
      <c r="F41" s="26">
        <f t="shared" ca="1" si="8"/>
        <v>47</v>
      </c>
      <c r="G41" s="26">
        <f t="shared" ca="1" si="8"/>
        <v>29</v>
      </c>
      <c r="H41" s="26">
        <f t="shared" ca="1" si="8"/>
        <v>134</v>
      </c>
      <c r="I41" s="26">
        <f t="shared" ca="1" si="8"/>
        <v>27</v>
      </c>
      <c r="J41" s="26">
        <f t="shared" ca="1" si="8"/>
        <v>51</v>
      </c>
      <c r="K41" s="26">
        <f t="shared" ca="1" si="8"/>
        <v>55</v>
      </c>
      <c r="L41" s="26">
        <f t="shared" ca="1" si="8"/>
        <v>56</v>
      </c>
      <c r="M41" s="26">
        <f t="shared" ca="1" si="8"/>
        <v>48</v>
      </c>
      <c r="N41" s="26">
        <f t="shared" ca="1" si="8"/>
        <v>52</v>
      </c>
      <c r="O41" s="26">
        <f t="shared" ca="1" si="8"/>
        <v>52</v>
      </c>
      <c r="P41" s="27">
        <f t="shared" ca="1" si="10"/>
        <v>1014</v>
      </c>
      <c r="Q41" s="28">
        <f t="shared" ca="1" si="9"/>
        <v>32</v>
      </c>
      <c r="R41" s="113">
        <v>7</v>
      </c>
      <c r="S41" s="7">
        <v>31</v>
      </c>
    </row>
    <row r="42" spans="1:19" x14ac:dyDescent="0.25">
      <c r="A42" s="112">
        <f t="shared" ca="1" si="5"/>
        <v>70</v>
      </c>
      <c r="B42" s="26">
        <f t="shared" ca="1" si="5"/>
        <v>45</v>
      </c>
      <c r="C42" s="26">
        <f t="shared" ca="1" si="8"/>
        <v>17</v>
      </c>
      <c r="D42" s="26">
        <f t="shared" ca="1" si="8"/>
        <v>262</v>
      </c>
      <c r="E42" s="26">
        <f t="shared" ca="1" si="8"/>
        <v>132</v>
      </c>
      <c r="F42" s="26">
        <f t="shared" ca="1" si="8"/>
        <v>32</v>
      </c>
      <c r="G42" s="26">
        <f t="shared" ca="1" si="8"/>
        <v>32</v>
      </c>
      <c r="H42" s="26">
        <f t="shared" ca="1" si="8"/>
        <v>138</v>
      </c>
      <c r="I42" s="26">
        <f t="shared" ca="1" si="8"/>
        <v>26</v>
      </c>
      <c r="J42" s="26">
        <f t="shared" ca="1" si="8"/>
        <v>28</v>
      </c>
      <c r="K42" s="26">
        <f t="shared" ca="1" si="8"/>
        <v>62</v>
      </c>
      <c r="L42" s="26">
        <f t="shared" ca="1" si="8"/>
        <v>65</v>
      </c>
      <c r="M42" s="26">
        <f t="shared" ca="1" si="8"/>
        <v>69</v>
      </c>
      <c r="N42" s="26">
        <f t="shared" ca="1" si="8"/>
        <v>88</v>
      </c>
      <c r="O42" s="26">
        <f t="shared" ca="1" si="8"/>
        <v>97</v>
      </c>
      <c r="P42" s="27">
        <f t="shared" ca="1" si="10"/>
        <v>1163</v>
      </c>
      <c r="Q42" s="28">
        <f t="shared" ca="1" si="9"/>
        <v>37</v>
      </c>
      <c r="R42" s="113">
        <v>8</v>
      </c>
      <c r="S42" s="7">
        <v>31</v>
      </c>
    </row>
    <row r="43" spans="1:19" x14ac:dyDescent="0.25">
      <c r="A43" s="112">
        <f t="shared" ca="1" si="5"/>
        <v>52</v>
      </c>
      <c r="B43" s="26">
        <f t="shared" ca="1" si="5"/>
        <v>79</v>
      </c>
      <c r="C43" s="26">
        <f t="shared" ca="1" si="8"/>
        <v>13</v>
      </c>
      <c r="D43" s="26">
        <f t="shared" ca="1" si="8"/>
        <v>286</v>
      </c>
      <c r="E43" s="26">
        <f t="shared" ca="1" si="8"/>
        <v>153</v>
      </c>
      <c r="F43" s="26">
        <f t="shared" ca="1" si="8"/>
        <v>74</v>
      </c>
      <c r="G43" s="26">
        <f t="shared" ca="1" si="8"/>
        <v>47</v>
      </c>
      <c r="H43" s="26">
        <f t="shared" ca="1" si="8"/>
        <v>210</v>
      </c>
      <c r="I43" s="26">
        <f t="shared" ca="1" si="8"/>
        <v>54</v>
      </c>
      <c r="J43" s="26">
        <f t="shared" ca="1" si="8"/>
        <v>85</v>
      </c>
      <c r="K43" s="26">
        <f t="shared" ca="1" si="8"/>
        <v>95</v>
      </c>
      <c r="L43" s="26">
        <f t="shared" ca="1" si="8"/>
        <v>122</v>
      </c>
      <c r="M43" s="26">
        <f t="shared" ca="1" si="8"/>
        <v>98</v>
      </c>
      <c r="N43" s="26">
        <f t="shared" ca="1" si="8"/>
        <v>155</v>
      </c>
      <c r="O43" s="26">
        <f t="shared" ca="1" si="8"/>
        <v>120</v>
      </c>
      <c r="P43" s="27">
        <f t="shared" ca="1" si="10"/>
        <v>1643</v>
      </c>
      <c r="Q43" s="28">
        <f t="shared" ca="1" si="9"/>
        <v>54</v>
      </c>
      <c r="R43" s="113">
        <v>9</v>
      </c>
      <c r="S43" s="7">
        <v>30</v>
      </c>
    </row>
    <row r="44" spans="1:19" x14ac:dyDescent="0.25">
      <c r="A44" s="112">
        <f t="shared" ca="1" si="5"/>
        <v>65</v>
      </c>
      <c r="B44" s="26">
        <f t="shared" ca="1" si="5"/>
        <v>81</v>
      </c>
      <c r="C44" s="26">
        <f t="shared" ca="1" si="8"/>
        <v>17</v>
      </c>
      <c r="D44" s="26">
        <f t="shared" ca="1" si="8"/>
        <v>271</v>
      </c>
      <c r="E44" s="26">
        <f t="shared" ca="1" si="8"/>
        <v>173</v>
      </c>
      <c r="F44" s="26">
        <f t="shared" ca="1" si="8"/>
        <v>58</v>
      </c>
      <c r="G44" s="26">
        <f t="shared" ca="1" si="8"/>
        <v>31</v>
      </c>
      <c r="H44" s="26">
        <f t="shared" ca="1" si="8"/>
        <v>126</v>
      </c>
      <c r="I44" s="26">
        <f t="shared" ca="1" si="8"/>
        <v>31</v>
      </c>
      <c r="J44" s="26">
        <f t="shared" ca="1" si="8"/>
        <v>85</v>
      </c>
      <c r="K44" s="26">
        <f t="shared" ca="1" si="8"/>
        <v>78</v>
      </c>
      <c r="L44" s="26">
        <f t="shared" ca="1" si="8"/>
        <v>55</v>
      </c>
      <c r="M44" s="26">
        <f t="shared" ca="1" si="8"/>
        <v>103</v>
      </c>
      <c r="N44" s="26">
        <f t="shared" ca="1" si="8"/>
        <v>47</v>
      </c>
      <c r="O44" s="26">
        <f t="shared" ca="1" si="8"/>
        <v>63</v>
      </c>
      <c r="P44" s="27">
        <f t="shared" ca="1" si="10"/>
        <v>1284</v>
      </c>
      <c r="Q44" s="28">
        <f t="shared" ca="1" si="9"/>
        <v>41</v>
      </c>
      <c r="R44" s="113">
        <v>10</v>
      </c>
      <c r="S44" s="7">
        <v>31</v>
      </c>
    </row>
    <row r="45" spans="1:19" x14ac:dyDescent="0.25">
      <c r="A45" s="112">
        <f t="shared" ca="1" si="5"/>
        <v>47</v>
      </c>
      <c r="B45" s="26">
        <f t="shared" ca="1" si="5"/>
        <v>65</v>
      </c>
      <c r="C45" s="26">
        <f t="shared" ca="1" si="8"/>
        <v>15</v>
      </c>
      <c r="D45" s="26">
        <f t="shared" ca="1" si="8"/>
        <v>282</v>
      </c>
      <c r="E45" s="26">
        <f t="shared" ca="1" si="8"/>
        <v>102</v>
      </c>
      <c r="F45" s="26">
        <f t="shared" ca="1" si="8"/>
        <v>54</v>
      </c>
      <c r="G45" s="26">
        <f t="shared" ca="1" si="8"/>
        <v>41</v>
      </c>
      <c r="H45" s="26">
        <f t="shared" ca="1" si="8"/>
        <v>59</v>
      </c>
      <c r="I45" s="26">
        <f t="shared" ca="1" si="8"/>
        <v>89</v>
      </c>
      <c r="J45" s="26">
        <f t="shared" ca="1" si="8"/>
        <v>32</v>
      </c>
      <c r="K45" s="26">
        <f t="shared" ca="1" si="8"/>
        <v>64</v>
      </c>
      <c r="L45" s="26">
        <f t="shared" ca="1" si="8"/>
        <v>54</v>
      </c>
      <c r="M45" s="26">
        <f t="shared" ca="1" si="8"/>
        <v>53</v>
      </c>
      <c r="N45" s="26">
        <f t="shared" ca="1" si="8"/>
        <v>98</v>
      </c>
      <c r="O45" s="26">
        <f t="shared" ca="1" si="8"/>
        <v>101</v>
      </c>
      <c r="P45" s="27">
        <f t="shared" ca="1" si="10"/>
        <v>1156</v>
      </c>
      <c r="Q45" s="28">
        <f t="shared" ca="1" si="9"/>
        <v>38</v>
      </c>
      <c r="R45" s="113">
        <v>11</v>
      </c>
      <c r="S45" s="7">
        <v>30</v>
      </c>
    </row>
    <row r="46" spans="1:19" ht="15.75" thickBot="1" x14ac:dyDescent="0.3">
      <c r="A46" s="114">
        <f t="shared" ca="1" si="5"/>
        <v>67</v>
      </c>
      <c r="B46" s="115">
        <f t="shared" ca="1" si="5"/>
        <v>87</v>
      </c>
      <c r="C46" s="115">
        <f t="shared" ca="1" si="8"/>
        <v>26</v>
      </c>
      <c r="D46" s="115">
        <f t="shared" ca="1" si="8"/>
        <v>280</v>
      </c>
      <c r="E46" s="115">
        <f t="shared" ca="1" si="8"/>
        <v>201</v>
      </c>
      <c r="F46" s="115">
        <f t="shared" ca="1" si="8"/>
        <v>63</v>
      </c>
      <c r="G46" s="115">
        <f t="shared" ca="1" si="8"/>
        <v>63</v>
      </c>
      <c r="H46" s="115">
        <f t="shared" ca="1" si="8"/>
        <v>201</v>
      </c>
      <c r="I46" s="115">
        <f t="shared" ca="1" si="8"/>
        <v>49</v>
      </c>
      <c r="J46" s="115">
        <f t="shared" ca="1" si="8"/>
        <v>40</v>
      </c>
      <c r="K46" s="115">
        <f t="shared" ca="1" si="8"/>
        <v>115</v>
      </c>
      <c r="L46" s="115">
        <f t="shared" ca="1" si="8"/>
        <v>91</v>
      </c>
      <c r="M46" s="115">
        <f t="shared" ca="1" si="8"/>
        <v>93</v>
      </c>
      <c r="N46" s="115">
        <f t="shared" ca="1" si="8"/>
        <v>144</v>
      </c>
      <c r="O46" s="115">
        <f t="shared" ca="1" si="8"/>
        <v>108</v>
      </c>
      <c r="P46" s="116">
        <f t="shared" ca="1" si="10"/>
        <v>1628</v>
      </c>
      <c r="Q46" s="117">
        <f t="shared" ca="1" si="9"/>
        <v>52</v>
      </c>
      <c r="R46" s="118">
        <v>12</v>
      </c>
      <c r="S46" s="7">
        <v>31</v>
      </c>
    </row>
  </sheetData>
  <mergeCells count="4">
    <mergeCell ref="P33:P34"/>
    <mergeCell ref="R33:R34"/>
    <mergeCell ref="Q33:Q34"/>
    <mergeCell ref="A1:M2"/>
  </mergeCells>
  <conditionalFormatting sqref="A47:O4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46">
    <cfRule type="cellIs" dxfId="0" priority="8" operator="lessThan">
      <formula>#REF!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13</vt:i4>
      </vt:variant>
    </vt:vector>
  </HeadingPairs>
  <TitlesOfParts>
    <vt:vector size="13" baseType="lpstr"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свод</vt:lpstr>
    </vt:vector>
  </TitlesOfParts>
  <Company>ОАО ХАНТЫ-МАНСИЙСКИЙ БАНК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kuklinae</dc:creator>
  <cp:lastModifiedBy>Evgenia</cp:lastModifiedBy>
  <dcterms:created xsi:type="dcterms:W3CDTF">2012-11-20T08:00:49Z</dcterms:created>
  <dcterms:modified xsi:type="dcterms:W3CDTF">2023-12-13T17:51:39Z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1. Отчетность Сатурн.xlsm</vt:lpwstr>
  </property>
</Properties>
</file>